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7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8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9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10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11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filterPrivacy="1" codeName="ThisWorkbook"/>
  <xr:revisionPtr revIDLastSave="2041" documentId="13_ncr:1_{D8A10D9A-0405-4942-9505-FC0EC852F549}" xr6:coauthVersionLast="47" xr6:coauthVersionMax="47" xr10:uidLastSave="{9DB43AEE-7A4E-4FF7-B5CD-80D9153DA6A2}"/>
  <bookViews>
    <workbookView showSheetTabs="0" xWindow="-21720" yWindow="-2070" windowWidth="21840" windowHeight="13020" tabRatio="740" firstSheet="1" autoFilterDateGrouping="0" xr2:uid="{00000000-000D-0000-FFFF-FFFF00000000}"/>
  </bookViews>
  <sheets>
    <sheet name="Inicio" sheetId="14" r:id="rId1"/>
    <sheet name="1. Empresa" sheetId="1" r:id="rId2"/>
    <sheet name="2. Departamento" sheetId="6" r:id="rId3"/>
    <sheet name="3. Puesto" sheetId="8" r:id="rId4"/>
    <sheet name="4. Tarea" sheetId="9" r:id="rId5"/>
    <sheet name="5. Agente" sheetId="7" r:id="rId6"/>
    <sheet name="6. Emisión" sheetId="10" r:id="rId7"/>
    <sheet name="6. Deposición" sheetId="17" r:id="rId8"/>
    <sheet name="6. Transferencia" sheetId="11" r:id="rId9"/>
    <sheet name="6. Protección Guantes" sheetId="12" r:id="rId10"/>
    <sheet name="6. Protección Ropa" sheetId="13" r:id="rId11"/>
    <sheet name="Data" sheetId="3" r:id="rId12"/>
  </sheets>
  <definedNames>
    <definedName name="_5.1._Solamente_en_caso_de_ser_un_sólido" localSheetId="7">'5. Agente'!#REF!</definedName>
    <definedName name="_5.1._Solamente_en_caso_de_ser_un_sólido">'5. Agente'!#REF!</definedName>
    <definedName name="_6.1" localSheetId="7">'6. Deposición'!#REF!</definedName>
    <definedName name="_6.1">'6. Emisión'!$I$4</definedName>
    <definedName name="_ftn1" localSheetId="4">'4. Tarea'!#REF!</definedName>
    <definedName name="_ftn2" localSheetId="7">'6. Deposición'!#REF!</definedName>
    <definedName name="_ftn2" localSheetId="6">'6. Emisión'!#REF!</definedName>
    <definedName name="_ftn3" localSheetId="7">'6. Deposición'!#REF!</definedName>
    <definedName name="_ftn3" localSheetId="6">'6. Emisión'!#REF!</definedName>
    <definedName name="_ftn4" localSheetId="7">'6. Deposición'!#REF!</definedName>
    <definedName name="_ftn4" localSheetId="6">'6. Emisión'!#REF!</definedName>
    <definedName name="_ftn5" localSheetId="7">'6. Deposición'!#REF!</definedName>
    <definedName name="_ftn5" localSheetId="6">'6. Emisión'!#REF!</definedName>
    <definedName name="_ftn6" localSheetId="7">'6. Deposición'!#REF!</definedName>
    <definedName name="_ftn6" localSheetId="6">'6. Emisión'!#REF!</definedName>
    <definedName name="_ftn7" localSheetId="7">'6. Deposición'!#REF!</definedName>
    <definedName name="_ftn7" localSheetId="6">'6. Emisión'!#REF!</definedName>
    <definedName name="_ftnref1" localSheetId="4">'4. Tarea'!#REF!</definedName>
    <definedName name="_ftnref2" localSheetId="7">'6. Deposición'!#REF!</definedName>
    <definedName name="_ftnref2" localSheetId="6">'6. Emisión'!#REF!</definedName>
    <definedName name="_ftnref3" localSheetId="7">'6. Deposición'!#REF!</definedName>
    <definedName name="_ftnref3" localSheetId="6">'6. Emisión'!#REF!</definedName>
    <definedName name="_ftnref4" localSheetId="7">'6. Deposición'!#REF!</definedName>
    <definedName name="_ftnref4" localSheetId="6">'6. Emisión'!#REF!</definedName>
    <definedName name="_ftnref5" localSheetId="7">#REF!</definedName>
    <definedName name="_ftnref5" localSheetId="6">#REF!</definedName>
    <definedName name="_ftnref6" localSheetId="7">#REF!</definedName>
    <definedName name="_ftnref6" localSheetId="6">#REF!</definedName>
    <definedName name="_ftnref7" localSheetId="7">#REF!</definedName>
    <definedName name="_ftnref7" localSheetId="6">#REF!</definedName>
    <definedName name="agente">'5. Agente'!$D$4</definedName>
    <definedName name="B_25">'6. Deposición'!#REF!</definedName>
    <definedName name="BC">'6. Protección Guantes'!$I$10</definedName>
    <definedName name="brazosuperior" localSheetId="7">'6. Deposición'!$J$9</definedName>
    <definedName name="brazosuperior">'6. Emisión'!$J$11</definedName>
    <definedName name="C_FA">'6. Protección Ropa'!$O$9</definedName>
    <definedName name="C_FE">'6. Protección Ropa'!$O$15</definedName>
    <definedName name="C_HE">'6. Protección Ropa'!$O$7</definedName>
    <definedName name="C_LB">'6. Protección Ropa'!$O$12</definedName>
    <definedName name="C_LL">'6. Protección Ropa'!$O$13</definedName>
    <definedName name="C_TB">'6. Protección Ropa'!$O$11</definedName>
    <definedName name="C_TF">'6. Protección Ropa'!$O$10</definedName>
    <definedName name="C_UA">'6. Protección Ropa'!$O$8</definedName>
    <definedName name="cabeza" localSheetId="7">'6. Deposición'!$J$8</definedName>
    <definedName name="cabeza">'6. Emisión'!$J$10</definedName>
    <definedName name="CE">'3. Puesto'!$I$7</definedName>
    <definedName name="Cn">'5. Agente'!$H$6</definedName>
    <definedName name="D_FA">'6. Deposición'!$L$10</definedName>
    <definedName name="D_FA1">'6. Deposición'!$J$10</definedName>
    <definedName name="D_FE">'6. Deposición'!$L$16</definedName>
    <definedName name="D_FE1">'6. Deposición'!$J$16</definedName>
    <definedName name="D_HA">'6. Deposición'!$L$11</definedName>
    <definedName name="D_HA1">'6. Deposición'!$J$11</definedName>
    <definedName name="D_HE">'6. Deposición'!$L$8</definedName>
    <definedName name="D_HE1">'6. Deposición'!$J$8</definedName>
    <definedName name="D_LB">'6. Deposición'!$L$14</definedName>
    <definedName name="D_LB1">'6. Deposición'!$J$14</definedName>
    <definedName name="D_LL">'6. Deposición'!$L$15</definedName>
    <definedName name="D_LL1">'6. Deposición'!$J$15</definedName>
    <definedName name="D_TB">'6. Deposición'!$L$13</definedName>
    <definedName name="D_TB1">'6. Deposición'!$J$13</definedName>
    <definedName name="D_TF">'6. Deposición'!$L$12</definedName>
    <definedName name="D_TF1">'6. Deposición'!$J$12</definedName>
    <definedName name="D_TOT">'6. Deposición'!$L$17</definedName>
    <definedName name="D_UA">'6. Deposición'!$L$9</definedName>
    <definedName name="D_UA1">'6. Deposición'!$J$9</definedName>
    <definedName name="Data_A">Data!$FO$5</definedName>
    <definedName name="Data_Agente">Data!$T$5</definedName>
    <definedName name="Data_B">Data!$FY$5</definedName>
    <definedName name="Data_C">Data!$GI$5</definedName>
    <definedName name="Data_D">Data!$GR$5</definedName>
    <definedName name="Data_Departamento">Data!$E$5</definedName>
    <definedName name="Data_Deposicion">Data!$BD$5</definedName>
    <definedName name="Data_E">Data!$HB$5</definedName>
    <definedName name="Data_Emision">Data!$AG$5</definedName>
    <definedName name="Data_Empresa">Data!$A$5</definedName>
    <definedName name="Data_F">Data!$HL$5</definedName>
    <definedName name="Data_G">Data!$HN$5</definedName>
    <definedName name="Data_Guantes">Data!$DX$5</definedName>
    <definedName name="Data_Puesto">Data!$K$5</definedName>
    <definedName name="Data_Ropa">Data!$EH$5</definedName>
    <definedName name="Data_Tarea">Data!$R$5</definedName>
    <definedName name="Data_Transferencia">Data!$BZ$5</definedName>
    <definedName name="DD_HE1">'6. Deposición'!$J$8</definedName>
    <definedName name="DU">'5. Agente'!$H$15</definedName>
    <definedName name="E_FA">'6. Emisión'!$L$12</definedName>
    <definedName name="E_FA1">'6. Emisión'!$J$12</definedName>
    <definedName name="E_FE">'6. Emisión'!$L$17</definedName>
    <definedName name="E_FE1">'6. Emisión'!$J$17</definedName>
    <definedName name="E_HA">'6. Emisión'!$L$5</definedName>
    <definedName name="E_HE">'6. Emisión'!$L$10</definedName>
    <definedName name="E_HE1">'6. Emisión'!$J$10</definedName>
    <definedName name="E_LB">'6. Emisión'!$L$15</definedName>
    <definedName name="E_LB1">'6. Emisión'!$J$15</definedName>
    <definedName name="E_LL">'6. Emisión'!$L$16</definedName>
    <definedName name="E_LL1">'6. Emisión'!$J$16</definedName>
    <definedName name="E_TB">'6. Emisión'!$L$14</definedName>
    <definedName name="E_TB1">'6. Emisión'!$J$14</definedName>
    <definedName name="E_TF">'6. Emisión'!$L$13</definedName>
    <definedName name="E_TF1">'6. Emisión'!$J$13</definedName>
    <definedName name="E_TOT">'6. Emisión'!$L$18</definedName>
    <definedName name="E_UA">'6. Emisión'!$L$11</definedName>
    <definedName name="E_UA1">'6. Emisión'!$J$11</definedName>
    <definedName name="EC_1">'3. Puesto'!$G$5</definedName>
    <definedName name="EC_2">'3. Puesto'!$G$6</definedName>
    <definedName name="EC_3">'3. Puesto'!$G$7</definedName>
    <definedName name="EH">'2. Departamento'!$J$15</definedName>
    <definedName name="EH_FL">'2. Departamento'!$H$5</definedName>
    <definedName name="EH_MC">'2. Departamento'!$H$12</definedName>
    <definedName name="EH_TO">'2. Departamento'!$H$15</definedName>
    <definedName name="EH_WT">'2. Departamento'!$H$9</definedName>
    <definedName name="Ei">'5. Agente'!$H$28</definedName>
    <definedName name="Ei_L">'5. Agente'!$H$25</definedName>
    <definedName name="Ei_S">'5. Agente'!$H$24</definedName>
    <definedName name="Ei_V">'5. Agente'!$H$26</definedName>
    <definedName name="Empresa">'1. Empresa'!$C$7</definedName>
    <definedName name="ER_D">'6. Deposición'!$L$5</definedName>
    <definedName name="ER_E">'6. Emisión'!$L$4</definedName>
    <definedName name="ER_R">'6. Emisión'!$L$4</definedName>
    <definedName name="ER_T">'6. Transferencia'!$U$4</definedName>
    <definedName name="EV">'5. Agente'!$H$19</definedName>
    <definedName name="fecha">'1. Empresa'!$C$6</definedName>
    <definedName name="Fm">'5. Agente'!$H$12</definedName>
    <definedName name="forma" localSheetId="7">'5. Agente'!#REF!</definedName>
    <definedName name="forma">'5. Agente'!#REF!</definedName>
    <definedName name="GC">'6. Protección Guantes'!$I$5</definedName>
    <definedName name="GD">'6. Protección Guantes'!$I$6</definedName>
    <definedName name="I_D.BP">'6. Deposición'!$J$5</definedName>
    <definedName name="I_E.BP">'6. Emisión'!$J$7</definedName>
    <definedName name="I_E.HA">'6. Emisión'!$J$5</definedName>
    <definedName name="I_T.BP.FL">'6. Transferencia'!$S$13</definedName>
    <definedName name="I_T.BP.MA">'6. Transferencia'!$S$15</definedName>
    <definedName name="I_T.BP.OT">'6. Transferencia'!$S$17</definedName>
    <definedName name="I_T.BP.TA">'6. Transferencia'!$S$14</definedName>
    <definedName name="I_T.BP.TO">'6. Transferencia'!$S$16</definedName>
    <definedName name="I_T.HA.FL">'6. Transferencia'!$S$6</definedName>
    <definedName name="I_T.HA.MA">'6. Transferencia'!$S$8</definedName>
    <definedName name="I_T.HA.OT">'6. Transferencia'!$S$10</definedName>
    <definedName name="I_T.HA.TA">'6. Transferencia'!$S$7</definedName>
    <definedName name="I_T.HA.TO">'6. Transferencia'!$S$9</definedName>
    <definedName name="iactivo">'5. Agente'!$D$5</definedName>
    <definedName name="ID">'1. Empresa'!$C$4</definedName>
    <definedName name="limpieza">fecha</definedName>
    <definedName name="M">'6. Protección Guantes'!$I$4</definedName>
    <definedName name="M_FA">'6. Protección Ropa'!$Q$9</definedName>
    <definedName name="M_FE">'6. Protección Ropa'!$Q$15</definedName>
    <definedName name="M_HE">'6. Protección Ropa'!$Q$7</definedName>
    <definedName name="M_LB">'6. Protección Ropa'!$Q$12</definedName>
    <definedName name="M_LL">'6. Protección Ropa'!$Q$13</definedName>
    <definedName name="M_TB">'6. Protección Ropa'!$Q$11</definedName>
    <definedName name="M_TF">'6. Protección Ropa'!$Q$10</definedName>
    <definedName name="M_UA">'6. Protección Ropa'!$Q$8</definedName>
    <definedName name="maquinas" localSheetId="7">'1. Empresa'!#REF!</definedName>
    <definedName name="maquinas">'1. Empresa'!#REF!</definedName>
    <definedName name="mesas" localSheetId="7">'1. Empresa'!#REF!</definedName>
    <definedName name="mesas">'1. Empresa'!#REF!</definedName>
    <definedName name="NameDep">'2. Departamento'!$D$4</definedName>
    <definedName name="O_FA">'6. Protección Ropa'!$U$9</definedName>
    <definedName name="O_FE">'6. Protección Ropa'!$U$15</definedName>
    <definedName name="O_HA">'6. Protección Guantes'!$I$11</definedName>
    <definedName name="O_HE">'6. Protección Ropa'!$U$7</definedName>
    <definedName name="O_LB">'6. Protección Ropa'!$U$12</definedName>
    <definedName name="O_LL">'6. Protección Ropa'!$U$13</definedName>
    <definedName name="O_TB">'6. Protección Ropa'!$U$11</definedName>
    <definedName name="O_TF">'6. Protección Ropa'!$U$10</definedName>
    <definedName name="O_UA">'6. Protección Ropa'!$U$8</definedName>
    <definedName name="Observador">'1. Empresa'!$C$5</definedName>
    <definedName name="P_D.BP">'6. Deposición'!$J$4</definedName>
    <definedName name="P_E.BP">'6. Emisión'!$J$6</definedName>
    <definedName name="P_E.HA">'6. Emisión'!$J$4</definedName>
    <definedName name="P_T.BP.FL">'6. Transferencia'!$Q$13</definedName>
    <definedName name="P_T.BP.MA">'6. Transferencia'!$Q$15</definedName>
    <definedName name="P_T.BP.OT">'6. Transferencia'!$Q$17</definedName>
    <definedName name="P_T.BP.TA">'6. Transferencia'!$Q$14</definedName>
    <definedName name="P_T.BP.TO">'6. Transferencia'!$Q$16</definedName>
    <definedName name="P_T.HA.FL">'6. Transferencia'!$Q$6</definedName>
    <definedName name="P_T.HA.MA">'6. Transferencia'!$Q$8</definedName>
    <definedName name="P_T.HA.OT">'6. Transferencia'!$Q$10</definedName>
    <definedName name="P_T.HA.TA">'6. Transferencia'!$Q$7</definedName>
    <definedName name="P_T.HA.TO">'6. Transferencia'!$Q$9</definedName>
    <definedName name="PFM_BP">'6. Protección Ropa'!$U$6</definedName>
    <definedName name="PFM_HA">'6. Protección Guantes'!$I$1</definedName>
    <definedName name="piso" localSheetId="7">'1. Empresa'!#REF!</definedName>
    <definedName name="piso">'1. Empresa'!#REF!</definedName>
    <definedName name="PS" localSheetId="7">'5. Agente'!#REF!</definedName>
    <definedName name="PS">'5. Agente'!$H$9</definedName>
    <definedName name="puesto">'3. Puesto'!$D$4</definedName>
    <definedName name="RF">'6. Protección Guantes'!$I$7</definedName>
    <definedName name="RF_FA">'6. Protección Ropa'!$S$9</definedName>
    <definedName name="RF_FE">'6. Protección Ropa'!$S$15</definedName>
    <definedName name="RF_HE">'6. Protección Ropa'!$S$7</definedName>
    <definedName name="RF_LB">'6. Protección Ropa'!$S$12</definedName>
    <definedName name="RF_LL">'6. Protección Ropa'!$S$13</definedName>
    <definedName name="RF_TB">'6. Protección Ropa'!$S$11</definedName>
    <definedName name="RF_TF">'6. Protección Ropa'!$S$10</definedName>
    <definedName name="RF_UA">'6. Protección Ropa'!$S$8</definedName>
    <definedName name="RTD_CAT">'4. Tarea'!$G$5</definedName>
    <definedName name="Skin_Job">Data!$HN$5</definedName>
    <definedName name="SS">'5. Agente'!$H$17</definedName>
    <definedName name="T_BP">'6. Transferencia'!#REF!</definedName>
    <definedName name="T_BP.FL">'6. Transferencia'!$U$13</definedName>
    <definedName name="T_BP.MA">'6. Transferencia'!$U$15</definedName>
    <definedName name="T_BP.OT">'6. Transferencia'!$U$17</definedName>
    <definedName name="T_BP.TA">'6. Transferencia'!$U$14</definedName>
    <definedName name="T_BP.TO">'6. Transferencia'!$U$16</definedName>
    <definedName name="T_FA">'6. Transferencia'!$S$22</definedName>
    <definedName name="T_FA1">'6. Transferencia'!$Q$22</definedName>
    <definedName name="T_FE">'6. Transferencia'!$S$27</definedName>
    <definedName name="T_FE1">'6. Transferencia'!$Q$27</definedName>
    <definedName name="T_HA">'6. Transferencia'!#REF!</definedName>
    <definedName name="T_HA.FL">'6. Transferencia'!$U$6</definedName>
    <definedName name="T_HA.MA">'6. Transferencia'!$U$8</definedName>
    <definedName name="T_HA.OT">'6. Transferencia'!$U$10</definedName>
    <definedName name="T_HA.TA">'6. Transferencia'!$U$7</definedName>
    <definedName name="T_HA.TO">'6. Transferencia'!$U$9</definedName>
    <definedName name="T_HE">'6. Transferencia'!$S$20</definedName>
    <definedName name="T_HE1">'6. Transferencia'!$Q$20</definedName>
    <definedName name="T_LB">'6. Transferencia'!$S$25</definedName>
    <definedName name="T_LB1">'6. Transferencia'!$Q$25</definedName>
    <definedName name="T_LL">'6. Transferencia'!$S$26</definedName>
    <definedName name="T_LL1">'6. Transferencia'!$Q$26</definedName>
    <definedName name="T_TB">'6. Transferencia'!$S$24</definedName>
    <definedName name="T_TB1">'6. Transferencia'!$Q$24</definedName>
    <definedName name="T_TF">'6. Transferencia'!$S$23</definedName>
    <definedName name="T_TF1">'6. Transferencia'!$Q$23</definedName>
    <definedName name="T_TOT">'6. Transferencia'!$S$28</definedName>
    <definedName name="T_UA">'6. Transferencia'!$S$21</definedName>
    <definedName name="T_UA1">'6. Transferencia'!$Q$21</definedName>
    <definedName name="Tarea">'4. Tarea'!$D$4</definedName>
    <definedName name="tools" localSheetId="7">'1. Empresa'!#REF!</definedName>
    <definedName name="tools">'1. Empresa'!#REF!</definedName>
    <definedName name="UG">'6. Protección Guantes'!$I$8</definedName>
    <definedName name="URF">'6. Protección Guantes'!$I$9</definedName>
    <definedName name="V">'5. Agente'!$H$20</definedName>
    <definedName name="WH">'3. Puesto'!$G$8</definedName>
    <definedName name="X">'6. Deposición'!#REF!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7" i="3" l="1"/>
  <c r="FN7" i="3"/>
  <c r="FM7" i="3"/>
  <c r="FL7" i="3"/>
  <c r="FK7" i="3"/>
  <c r="FJ7" i="3"/>
  <c r="FI7" i="3"/>
  <c r="FH7" i="3"/>
  <c r="FG7" i="3"/>
  <c r="EG7" i="3"/>
  <c r="EF7" i="3"/>
  <c r="AF7" i="3"/>
  <c r="CN7" i="3" s="1"/>
  <c r="AE7" i="3"/>
  <c r="AD7" i="3"/>
  <c r="P7" i="3"/>
  <c r="O7" i="3"/>
  <c r="J7" i="3"/>
  <c r="J5" i="17"/>
  <c r="J7" i="10"/>
  <c r="J5" i="10"/>
  <c r="I9" i="12"/>
  <c r="I8" i="12"/>
  <c r="I7" i="12"/>
  <c r="AJ7" i="3" l="1"/>
  <c r="CO7" i="3"/>
  <c r="AV7" i="3"/>
  <c r="AU7" i="3"/>
  <c r="BX7" i="3"/>
  <c r="AW7" i="3"/>
  <c r="BQ7" i="3"/>
  <c r="DB7" i="3"/>
  <c r="BV7" i="3"/>
  <c r="BW7" i="3"/>
  <c r="BP7" i="3"/>
  <c r="AX7" i="3"/>
  <c r="BR7" i="3"/>
  <c r="CK7" i="3"/>
  <c r="CP7" i="3" s="1"/>
  <c r="DC7" i="3"/>
  <c r="AY7" i="3"/>
  <c r="BS7" i="3"/>
  <c r="CL7" i="3"/>
  <c r="DD7" i="3"/>
  <c r="BB7" i="3"/>
  <c r="DA7" i="3"/>
  <c r="AZ7" i="3"/>
  <c r="BT7" i="3"/>
  <c r="CM7" i="3"/>
  <c r="DE7" i="3"/>
  <c r="BA7" i="3"/>
  <c r="BU7" i="3"/>
  <c r="S15" i="13"/>
  <c r="Q15" i="13"/>
  <c r="O15" i="13"/>
  <c r="U15" i="13" s="1"/>
  <c r="S13" i="13"/>
  <c r="Q13" i="13"/>
  <c r="O13" i="13"/>
  <c r="U13" i="13" s="1"/>
  <c r="S12" i="13"/>
  <c r="Q12" i="13"/>
  <c r="O12" i="13"/>
  <c r="U12" i="13" s="1"/>
  <c r="S11" i="13"/>
  <c r="Q11" i="13"/>
  <c r="O11" i="13"/>
  <c r="U11" i="13" s="1"/>
  <c r="S10" i="13"/>
  <c r="Q10" i="13"/>
  <c r="O10" i="13"/>
  <c r="U10" i="13" s="1"/>
  <c r="S9" i="13"/>
  <c r="Q9" i="13"/>
  <c r="O9" i="13"/>
  <c r="U9" i="13" s="1"/>
  <c r="S8" i="13"/>
  <c r="Q8" i="13"/>
  <c r="O8" i="13"/>
  <c r="U8" i="13" s="1"/>
  <c r="S7" i="13"/>
  <c r="Q7" i="13"/>
  <c r="O7" i="13"/>
  <c r="U7" i="13" s="1"/>
  <c r="I10" i="12"/>
  <c r="I6" i="12"/>
  <c r="I5" i="12"/>
  <c r="I4" i="12"/>
  <c r="Q27" i="11"/>
  <c r="S27" i="11" s="1"/>
  <c r="Q26" i="11"/>
  <c r="S26" i="11" s="1"/>
  <c r="Q25" i="11"/>
  <c r="S25" i="11" s="1"/>
  <c r="S24" i="11"/>
  <c r="Q24" i="11"/>
  <c r="Q23" i="11"/>
  <c r="S23" i="11" s="1"/>
  <c r="Q22" i="11"/>
  <c r="S22" i="11" s="1"/>
  <c r="Q21" i="11"/>
  <c r="S21" i="11" s="1"/>
  <c r="Q20" i="11"/>
  <c r="S20" i="11" s="1"/>
  <c r="S28" i="11" s="1"/>
  <c r="S17" i="11"/>
  <c r="Q17" i="11"/>
  <c r="S16" i="11"/>
  <c r="Q16" i="11"/>
  <c r="S15" i="11"/>
  <c r="Q15" i="11"/>
  <c r="S14" i="11"/>
  <c r="Q14" i="11"/>
  <c r="S13" i="11"/>
  <c r="Q13" i="11"/>
  <c r="S10" i="11"/>
  <c r="Q10" i="11"/>
  <c r="S9" i="11"/>
  <c r="Q9" i="11"/>
  <c r="S8" i="11"/>
  <c r="Q8" i="11"/>
  <c r="S7" i="11"/>
  <c r="Q7" i="11"/>
  <c r="S6" i="11"/>
  <c r="Q6" i="11"/>
  <c r="J16" i="17"/>
  <c r="J15" i="17"/>
  <c r="J14" i="17"/>
  <c r="J13" i="17"/>
  <c r="J12" i="17"/>
  <c r="J11" i="17"/>
  <c r="J10" i="17"/>
  <c r="J9" i="17"/>
  <c r="J8" i="17"/>
  <c r="J4" i="17"/>
  <c r="J17" i="10"/>
  <c r="J16" i="10"/>
  <c r="J15" i="10"/>
  <c r="J14" i="10"/>
  <c r="J13" i="10"/>
  <c r="J12" i="10"/>
  <c r="J11" i="10"/>
  <c r="J10" i="10"/>
  <c r="J6" i="10"/>
  <c r="J4" i="10"/>
  <c r="H20" i="7"/>
  <c r="H19" i="7"/>
  <c r="H17" i="7"/>
  <c r="H15" i="7"/>
  <c r="H12" i="7"/>
  <c r="H9" i="7"/>
  <c r="H6" i="7"/>
  <c r="G5" i="9"/>
  <c r="G8" i="8"/>
  <c r="I8" i="8" s="1"/>
  <c r="G7" i="8"/>
  <c r="G6" i="8"/>
  <c r="G5" i="8"/>
  <c r="H15" i="6"/>
  <c r="H12" i="6"/>
  <c r="H9" i="6"/>
  <c r="H5" i="6"/>
  <c r="DF7" i="3" l="1"/>
  <c r="BC7" i="3"/>
  <c r="BY7" i="3"/>
  <c r="FO7" i="3"/>
  <c r="H24" i="7"/>
  <c r="H25" i="7"/>
  <c r="H28" i="7" s="1"/>
  <c r="H26" i="7"/>
  <c r="I7" i="8"/>
  <c r="J15" i="6"/>
  <c r="GR7" i="3" l="1"/>
  <c r="FY7" i="3"/>
  <c r="DV7" i="3"/>
  <c r="FW7" i="3" s="1"/>
  <c r="DU7" i="3"/>
  <c r="FV7" i="3" s="1"/>
  <c r="DT7" i="3"/>
  <c r="FU7" i="3" s="1"/>
  <c r="DQ7" i="3"/>
  <c r="FR7" i="3" s="1"/>
  <c r="DS7" i="3"/>
  <c r="FT7" i="3" s="1"/>
  <c r="DR7" i="3"/>
  <c r="FS7" i="3" s="1"/>
  <c r="DO7" i="3"/>
  <c r="DP7" i="3"/>
  <c r="FQ7" i="3" s="1"/>
  <c r="L4" i="17"/>
  <c r="U3" i="11"/>
  <c r="L3" i="10"/>
  <c r="GX7" i="3" l="1"/>
  <c r="GE7" i="3"/>
  <c r="HH7" i="3" s="1"/>
  <c r="GW7" i="3"/>
  <c r="GD7" i="3"/>
  <c r="HG7" i="3" s="1"/>
  <c r="GU7" i="3"/>
  <c r="GB7" i="3"/>
  <c r="HE7" i="3" s="1"/>
  <c r="HB7" i="3"/>
  <c r="GY7" i="3"/>
  <c r="GF7" i="3"/>
  <c r="HI7" i="3" s="1"/>
  <c r="GZ7" i="3"/>
  <c r="GG7" i="3"/>
  <c r="HJ7" i="3" s="1"/>
  <c r="GA7" i="3"/>
  <c r="HD7" i="3" s="1"/>
  <c r="GT7" i="3"/>
  <c r="DW7" i="3"/>
  <c r="FP7" i="3"/>
  <c r="GC7" i="3"/>
  <c r="HF7" i="3" s="1"/>
  <c r="GV7" i="3"/>
  <c r="L15" i="10"/>
  <c r="L12" i="10"/>
  <c r="L10" i="10"/>
  <c r="L14" i="10"/>
  <c r="L17" i="10"/>
  <c r="L5" i="10"/>
  <c r="L16" i="10"/>
  <c r="L13" i="10"/>
  <c r="L11" i="10"/>
  <c r="U14" i="11"/>
  <c r="U10" i="11"/>
  <c r="U17" i="11"/>
  <c r="U7" i="11"/>
  <c r="U15" i="11"/>
  <c r="U8" i="11"/>
  <c r="U13" i="11"/>
  <c r="U6" i="11"/>
  <c r="U16" i="11"/>
  <c r="U9" i="11"/>
  <c r="L16" i="17"/>
  <c r="L9" i="17"/>
  <c r="L10" i="17"/>
  <c r="L14" i="17"/>
  <c r="L12" i="17"/>
  <c r="L11" i="17"/>
  <c r="L15" i="17"/>
  <c r="L8" i="17"/>
  <c r="L13" i="17"/>
  <c r="FZ7" i="3" l="1"/>
  <c r="GS7" i="3"/>
  <c r="HA7" i="3" s="1"/>
  <c r="HL7" i="3" s="1"/>
  <c r="HN7" i="3" s="1"/>
  <c r="FX7" i="3"/>
  <c r="L18" i="10"/>
  <c r="L17" i="17"/>
  <c r="HC7" i="3" l="1"/>
  <c r="HK7" i="3" s="1"/>
  <c r="HM7" i="3" s="1"/>
  <c r="HO7" i="3" s="1"/>
  <c r="GH7" i="3"/>
</calcChain>
</file>

<file path=xl/sharedStrings.xml><?xml version="1.0" encoding="utf-8"?>
<sst xmlns="http://schemas.openxmlformats.org/spreadsheetml/2006/main" count="610" uniqueCount="438">
  <si>
    <t>EH_FL</t>
  </si>
  <si>
    <t>EH_WT</t>
  </si>
  <si>
    <t>EH_MC</t>
  </si>
  <si>
    <t>EH_TO</t>
  </si>
  <si>
    <t>Vínculo</t>
  </si>
  <si>
    <t>Valor</t>
  </si>
  <si>
    <t>1.1</t>
  </si>
  <si>
    <t>2.1</t>
  </si>
  <si>
    <t>2.2</t>
  </si>
  <si>
    <t>Cabeza/ cuello</t>
  </si>
  <si>
    <t>Brazo superior</t>
  </si>
  <si>
    <t>Brazo inferior</t>
  </si>
  <si>
    <t xml:space="preserve">Torso (frontal) </t>
  </si>
  <si>
    <t xml:space="preserve">Torso (espalda) </t>
  </si>
  <si>
    <t>Parte inferior del abdomen y muslos</t>
  </si>
  <si>
    <t>Piernas</t>
  </si>
  <si>
    <t>Pies</t>
  </si>
  <si>
    <t>ID</t>
  </si>
  <si>
    <t xml:space="preserve">Pregunta </t>
  </si>
  <si>
    <t>Piso</t>
  </si>
  <si>
    <t>Mesas de trabajo</t>
  </si>
  <si>
    <t>Maquinas</t>
  </si>
  <si>
    <t>Herramientas de trabajo</t>
  </si>
  <si>
    <t>Otras superficies</t>
  </si>
  <si>
    <t>5.1</t>
  </si>
  <si>
    <t xml:space="preserve">Superficie </t>
  </si>
  <si>
    <t>Vínculo contacto</t>
  </si>
  <si>
    <t>Vinculo grado</t>
  </si>
  <si>
    <t>Parte</t>
  </si>
  <si>
    <t>6.1</t>
  </si>
  <si>
    <t>6.7</t>
  </si>
  <si>
    <t>6.8</t>
  </si>
  <si>
    <t>6.10</t>
  </si>
  <si>
    <t>2.3</t>
  </si>
  <si>
    <t>2.4</t>
  </si>
  <si>
    <t>5.2</t>
  </si>
  <si>
    <t>5.3</t>
  </si>
  <si>
    <t>6.2</t>
  </si>
  <si>
    <t>11.1</t>
  </si>
  <si>
    <t>6.11</t>
  </si>
  <si>
    <t>Cabeza y cuello</t>
  </si>
  <si>
    <t>Brazo</t>
  </si>
  <si>
    <t>Antebrazo</t>
  </si>
  <si>
    <t>Torso</t>
  </si>
  <si>
    <t xml:space="preserve">Espalda </t>
  </si>
  <si>
    <t>Abdomen inferior y muslos</t>
  </si>
  <si>
    <t xml:space="preserve">Pierna </t>
  </si>
  <si>
    <t xml:space="preserve">Pie </t>
  </si>
  <si>
    <t>Parte del cuerpo</t>
  </si>
  <si>
    <t>Vínculo cubierto</t>
  </si>
  <si>
    <t>Valor cubierto</t>
  </si>
  <si>
    <t>Vínculo material</t>
  </si>
  <si>
    <t>Valor material</t>
  </si>
  <si>
    <t>Vínculo frecuencia</t>
  </si>
  <si>
    <t>Valor frecuencia</t>
  </si>
  <si>
    <t>EH</t>
  </si>
  <si>
    <t>Ei</t>
  </si>
  <si>
    <t>Ei_S</t>
  </si>
  <si>
    <t>Ei_L</t>
  </si>
  <si>
    <t>Ei_V</t>
  </si>
  <si>
    <t>E_HA</t>
  </si>
  <si>
    <t>Lower Body</t>
  </si>
  <si>
    <t>Torso Front</t>
  </si>
  <si>
    <t>E_HE</t>
  </si>
  <si>
    <t>E_UA</t>
  </si>
  <si>
    <t>Upper Arms</t>
  </si>
  <si>
    <t>Head</t>
  </si>
  <si>
    <t>Forearms</t>
  </si>
  <si>
    <t>Torso Back</t>
  </si>
  <si>
    <t>Feet</t>
  </si>
  <si>
    <t>Lower Legs</t>
  </si>
  <si>
    <t>CALCULO METODO</t>
  </si>
  <si>
    <t>E_TOT</t>
  </si>
  <si>
    <t>D_UA</t>
  </si>
  <si>
    <t>Hands</t>
  </si>
  <si>
    <t>T_HA</t>
  </si>
  <si>
    <t>Cálculo Método</t>
  </si>
  <si>
    <t>T_BP</t>
  </si>
  <si>
    <t>T_HE</t>
  </si>
  <si>
    <t>T_FE</t>
  </si>
  <si>
    <t>T_LL</t>
  </si>
  <si>
    <t>T_LB</t>
  </si>
  <si>
    <t>T_TB</t>
  </si>
  <si>
    <t>T_TF</t>
  </si>
  <si>
    <t>T_UA</t>
  </si>
  <si>
    <t>T_FA</t>
  </si>
  <si>
    <t>T_TOT</t>
  </si>
  <si>
    <t>D_TOT</t>
  </si>
  <si>
    <t>E_FA</t>
  </si>
  <si>
    <t>E_TF</t>
  </si>
  <si>
    <t>E_TB</t>
  </si>
  <si>
    <t>E_LB</t>
  </si>
  <si>
    <t>E_LL</t>
  </si>
  <si>
    <t>E_FE</t>
  </si>
  <si>
    <t>D_HE</t>
  </si>
  <si>
    <t>D_FA</t>
  </si>
  <si>
    <t>D_HA</t>
  </si>
  <si>
    <t>D_TF</t>
  </si>
  <si>
    <t>D_TB</t>
  </si>
  <si>
    <t>D_LB</t>
  </si>
  <si>
    <t>D_LL</t>
  </si>
  <si>
    <t>D_FE</t>
  </si>
  <si>
    <t>O_HE</t>
  </si>
  <si>
    <t>O_UA</t>
  </si>
  <si>
    <t xml:space="preserve">PFM_BP </t>
  </si>
  <si>
    <t>O_FA</t>
  </si>
  <si>
    <t>O_FE</t>
  </si>
  <si>
    <t>O_LL</t>
  </si>
  <si>
    <t>O_LB</t>
  </si>
  <si>
    <t>O_TB</t>
  </si>
  <si>
    <t>O_TF</t>
  </si>
  <si>
    <t>O_HA</t>
  </si>
  <si>
    <t>ER_E</t>
  </si>
  <si>
    <t>Pregunta (E_BP1)</t>
  </si>
  <si>
    <t>ER_D</t>
  </si>
  <si>
    <t>Vínculo probabilidad</t>
  </si>
  <si>
    <t>Valor probabilidad</t>
  </si>
  <si>
    <t>Vinculo intensidad</t>
  </si>
  <si>
    <t>Valor intensidad</t>
  </si>
  <si>
    <t>T_HA.FL</t>
  </si>
  <si>
    <t>T_HA.TA</t>
  </si>
  <si>
    <t>T_HA.MA</t>
  </si>
  <si>
    <t>T_HA.TO</t>
  </si>
  <si>
    <t>T_HA.OT</t>
  </si>
  <si>
    <t>T_BP.FL</t>
  </si>
  <si>
    <t>T_BP.TA</t>
  </si>
  <si>
    <t>T_BP.MA</t>
  </si>
  <si>
    <t>T_BP.TO</t>
  </si>
  <si>
    <t>T_BP.OT</t>
  </si>
  <si>
    <t>ER_T</t>
  </si>
  <si>
    <t>PFM_HA</t>
  </si>
  <si>
    <t>Potential skin exposure per body part (Skin_P.PB)</t>
  </si>
  <si>
    <t>Actual skin exposure per body part (Skin_A.PB)</t>
  </si>
  <si>
    <t>Body Surface factor (BS_BP)</t>
  </si>
  <si>
    <t>Weighted actual exposure</t>
  </si>
  <si>
    <t>Weighted potencial exposure</t>
  </si>
  <si>
    <t>C</t>
  </si>
  <si>
    <t>PS</t>
  </si>
  <si>
    <t>F</t>
  </si>
  <si>
    <t>DU</t>
  </si>
  <si>
    <t xml:space="preserve">    op.Value = False</t>
  </si>
  <si>
    <t xml:space="preserve">    </t>
  </si>
  <si>
    <t xml:space="preserve">    Set op = ActiveSheet.Shapes("B_1").OLEFormat.Object</t>
  </si>
  <si>
    <t xml:space="preserve">    Set op = ActiveSheet.Shapes("B_2").OLEFormat.Object</t>
  </si>
  <si>
    <t xml:space="preserve">    Set op = ActiveSheet.Shapes("B_3").OLEFormat.Object</t>
  </si>
  <si>
    <t xml:space="preserve">    Set op = ActiveSheet.Shapes("B_4").OLEFormat.Object</t>
  </si>
  <si>
    <t xml:space="preserve">    Set op = ActiveSheet.Shapes("B_5").OLEFormat.Object</t>
  </si>
  <si>
    <t xml:space="preserve">    Set op = ActiveSheet.Shapes("B_6").OLEFormat.Object</t>
  </si>
  <si>
    <t xml:space="preserve">    Set op = ActiveSheet.Shapes("B_7").OLEFormat.Object</t>
  </si>
  <si>
    <t xml:space="preserve">    Set op = ActiveSheet.Shapes("B_8").OLEFormat.Object</t>
  </si>
  <si>
    <t xml:space="preserve">    Set op = ActiveSheet.Shapes("B_9").OLEFormat.Object</t>
  </si>
  <si>
    <t xml:space="preserve">    Set op = ActiveSheet.Shapes("B_10").OLEFormat.Object</t>
  </si>
  <si>
    <t xml:space="preserve">    Set op = ActiveSheet.Shapes("B_11").OLEFormat.Object</t>
  </si>
  <si>
    <t xml:space="preserve">    Set op = ActiveSheet.Shapes("B_12").OLEFormat.Object</t>
  </si>
  <si>
    <t xml:space="preserve">    Set op = ActiveSheet.Shapes("B_13").OLEFormat.Object</t>
  </si>
  <si>
    <t xml:space="preserve">    Set op = ActiveSheet.Shapes("B_14").OLEFormat.Object</t>
  </si>
  <si>
    <t xml:space="preserve">    Set op = ActiveSheet.Shapes("B_15").OLEFormat.Object</t>
  </si>
  <si>
    <t xml:space="preserve">    Set op = ActiveSheet.Shapes("B_16").OLEFormat.Object</t>
  </si>
  <si>
    <t xml:space="preserve">    Set op = ActiveSheet.Shapes("B_17").OLEFormat.Object</t>
  </si>
  <si>
    <t xml:space="preserve">    Set op = ActiveSheet.Shapes("B_18").OLEFormat.Object</t>
  </si>
  <si>
    <t xml:space="preserve">    Set op = ActiveSheet.Shapes("B_19").OLEFormat.Object</t>
  </si>
  <si>
    <t xml:space="preserve">    Set op = ActiveSheet.Shapes("B_20").OLEFormat.Object</t>
  </si>
  <si>
    <t xml:space="preserve">    Set op = ActiveSheet.Shapes("B_21").OLEFormat.Object</t>
  </si>
  <si>
    <t xml:space="preserve">    Set op = ActiveSheet.Shapes("B_22").OLEFormat.Object</t>
  </si>
  <si>
    <t xml:space="preserve">    Set op = ActiveSheet.Shapes("B_23").OLEFormat.Object</t>
  </si>
  <si>
    <t xml:space="preserve">    Set op = ActiveSheet.Shapes("B_24").OLEFormat.Object</t>
  </si>
  <si>
    <t xml:space="preserve">    Set op = ActiveSheet.Shapes("B_25").OLEFormat.Object</t>
  </si>
  <si>
    <t>End Sub</t>
  </si>
  <si>
    <t>SS</t>
  </si>
  <si>
    <t xml:space="preserve">5.1  </t>
  </si>
  <si>
    <r>
      <t>Skin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-P</t>
    </r>
    <r>
      <rPr>
        <vertAlign val="subscript"/>
        <sz val="11"/>
        <color theme="1"/>
        <rFont val="Calibri"/>
        <family val="2"/>
        <scheme val="minor"/>
      </rPr>
      <t>TASK.W</t>
    </r>
  </si>
  <si>
    <r>
      <t>Skin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-A</t>
    </r>
    <r>
      <rPr>
        <vertAlign val="subscript"/>
        <sz val="11"/>
        <color theme="1"/>
        <rFont val="Calibri"/>
        <family val="2"/>
        <scheme val="minor"/>
      </rPr>
      <t>TASK.W</t>
    </r>
  </si>
  <si>
    <t>CE</t>
  </si>
  <si>
    <t>WH</t>
  </si>
  <si>
    <r>
      <t>Skinw-A</t>
    </r>
    <r>
      <rPr>
        <vertAlign val="subscript"/>
        <sz val="11"/>
        <color theme="1"/>
        <rFont val="Calibri"/>
        <family val="2"/>
        <scheme val="minor"/>
      </rPr>
      <t>JOB</t>
    </r>
  </si>
  <si>
    <t>EC1</t>
  </si>
  <si>
    <t>EC2</t>
  </si>
  <si>
    <t>EC3</t>
  </si>
  <si>
    <t>RTD_CAT</t>
  </si>
  <si>
    <t>EV</t>
  </si>
  <si>
    <t>V</t>
  </si>
  <si>
    <t>P_E.HA</t>
  </si>
  <si>
    <t>I_E.HA</t>
  </si>
  <si>
    <t>E_HE1</t>
  </si>
  <si>
    <t>E_UA1</t>
  </si>
  <si>
    <t>E_FA1</t>
  </si>
  <si>
    <t>E_TF1</t>
  </si>
  <si>
    <t>E_TB1</t>
  </si>
  <si>
    <t>E_LB1</t>
  </si>
  <si>
    <t>E_LL1</t>
  </si>
  <si>
    <t>E_FE1</t>
  </si>
  <si>
    <t>P_E.BP</t>
  </si>
  <si>
    <t>I_E.BP</t>
  </si>
  <si>
    <t>P_D.BP</t>
  </si>
  <si>
    <t>I_D.BP</t>
  </si>
  <si>
    <t>D_HE1</t>
  </si>
  <si>
    <t>D_UA1</t>
  </si>
  <si>
    <t>D_FA1</t>
  </si>
  <si>
    <t>D_HA1</t>
  </si>
  <si>
    <t>D_TF1</t>
  </si>
  <si>
    <t>D_TB1</t>
  </si>
  <si>
    <t>D_LB1</t>
  </si>
  <si>
    <t>D_LL1</t>
  </si>
  <si>
    <t>D_FE1</t>
  </si>
  <si>
    <t>P_T.HA.FL</t>
  </si>
  <si>
    <t>P_T.HA.TA</t>
  </si>
  <si>
    <t>P_T.HA.MA</t>
  </si>
  <si>
    <t>P_T.HA.TO</t>
  </si>
  <si>
    <t>P_T.HA.OT</t>
  </si>
  <si>
    <t>I_T.HA.FL</t>
  </si>
  <si>
    <t>I_T.HA.TA</t>
  </si>
  <si>
    <t>I_T.HA.MA</t>
  </si>
  <si>
    <t>I_T.HA.TO</t>
  </si>
  <si>
    <t>I_T.HA.OT</t>
  </si>
  <si>
    <t>T.HA.FL</t>
  </si>
  <si>
    <t>T.HA.TA</t>
  </si>
  <si>
    <t>T.HA.MA</t>
  </si>
  <si>
    <t>T.HA.TO</t>
  </si>
  <si>
    <t>T.HA.OT</t>
  </si>
  <si>
    <t>P_T_BP.FL</t>
  </si>
  <si>
    <t>P_T_BP.TA</t>
  </si>
  <si>
    <t>P_T_BP.MA</t>
  </si>
  <si>
    <t>P_T_BP.TO</t>
  </si>
  <si>
    <t>P_T_BP.OT</t>
  </si>
  <si>
    <t>I_T_BP.FL</t>
  </si>
  <si>
    <t>I_T_BP.TA</t>
  </si>
  <si>
    <t>I_T_BP.MA</t>
  </si>
  <si>
    <t>I_T_BP.TO</t>
  </si>
  <si>
    <t>I_T_BP.OT</t>
  </si>
  <si>
    <t>T_HE1</t>
  </si>
  <si>
    <t>T_UA1</t>
  </si>
  <si>
    <t>T_FA1</t>
  </si>
  <si>
    <t>T_TF1</t>
  </si>
  <si>
    <t>T_TB1</t>
  </si>
  <si>
    <t>T_LB1</t>
  </si>
  <si>
    <t>T_LL1</t>
  </si>
  <si>
    <t>T_FE1</t>
  </si>
  <si>
    <t>M</t>
  </si>
  <si>
    <t>GC</t>
  </si>
  <si>
    <t>GD</t>
  </si>
  <si>
    <t>RF</t>
  </si>
  <si>
    <t>UG</t>
  </si>
  <si>
    <t>URF</t>
  </si>
  <si>
    <t>BC</t>
  </si>
  <si>
    <t>M_HE</t>
  </si>
  <si>
    <t>M_UA</t>
  </si>
  <si>
    <t>M_FA</t>
  </si>
  <si>
    <t>M_TF</t>
  </si>
  <si>
    <t>M_TB</t>
  </si>
  <si>
    <t>M_LL</t>
  </si>
  <si>
    <t>M_FE</t>
  </si>
  <si>
    <t>RF_HE</t>
  </si>
  <si>
    <t>RF_UA</t>
  </si>
  <si>
    <t>RF_FA</t>
  </si>
  <si>
    <t>RF_TF</t>
  </si>
  <si>
    <t>RF_TB</t>
  </si>
  <si>
    <t>RF_LL</t>
  </si>
  <si>
    <t>RF_FE</t>
  </si>
  <si>
    <t>Skin_P.HA</t>
  </si>
  <si>
    <t>Skin_P.HE</t>
  </si>
  <si>
    <t>Skin_P.UA</t>
  </si>
  <si>
    <t>Skin_P.FA</t>
  </si>
  <si>
    <t>Skin_P.TF</t>
  </si>
  <si>
    <t>Skin_P.TB</t>
  </si>
  <si>
    <t>Skin_P.LL</t>
  </si>
  <si>
    <t>Skin_P.FE</t>
  </si>
  <si>
    <t>Skin_P.LB</t>
  </si>
  <si>
    <t>RF_LB</t>
  </si>
  <si>
    <t>M_LB</t>
  </si>
  <si>
    <t>Skin_A.HA</t>
  </si>
  <si>
    <t>Skin_A.HE</t>
  </si>
  <si>
    <t>Skin_A.UA</t>
  </si>
  <si>
    <t>Skin_A.FA</t>
  </si>
  <si>
    <t>Skin_A.TF</t>
  </si>
  <si>
    <t>Skin_A.TB</t>
  </si>
  <si>
    <t>Skin_A.LB</t>
  </si>
  <si>
    <t>Skin_A.LL</t>
  </si>
  <si>
    <t>Skin_A.FE</t>
  </si>
  <si>
    <t>BS_HA</t>
  </si>
  <si>
    <t>BS_HE</t>
  </si>
  <si>
    <t>BS_UA</t>
  </si>
  <si>
    <t>BS_FA</t>
  </si>
  <si>
    <t>BS_TF</t>
  </si>
  <si>
    <t>BS_TB</t>
  </si>
  <si>
    <t>BS_LB</t>
  </si>
  <si>
    <t>BS_LL</t>
  </si>
  <si>
    <t>BS_FE</t>
  </si>
  <si>
    <t>Skin_W-P_HA</t>
  </si>
  <si>
    <t>Skin_W-P_HE</t>
  </si>
  <si>
    <t>Skin_W-P_UA</t>
  </si>
  <si>
    <t>Skin_W-P_FA</t>
  </si>
  <si>
    <t>Skin_W-P_TF</t>
  </si>
  <si>
    <t>Skin_W-P_TB</t>
  </si>
  <si>
    <t>Skin_W-P_LB</t>
  </si>
  <si>
    <t>Skin_W-P_LL</t>
  </si>
  <si>
    <t>Skin_W-P_FE</t>
  </si>
  <si>
    <t>Skin-P.TASK</t>
  </si>
  <si>
    <t>Skin-A.TASK</t>
  </si>
  <si>
    <t>Skin_W-P_TASK</t>
  </si>
  <si>
    <t>Skin_W-A_HA</t>
  </si>
  <si>
    <t>Skin_W-A_HE</t>
  </si>
  <si>
    <t>Skin_W-A_UA</t>
  </si>
  <si>
    <t>Skin_W-A_FA</t>
  </si>
  <si>
    <t>Skin_W-A_TF</t>
  </si>
  <si>
    <t>Skin_W-A_TB</t>
  </si>
  <si>
    <t>Skin_W-A_LB</t>
  </si>
  <si>
    <t>Skin_W-A_LL</t>
  </si>
  <si>
    <t>Skin_W-A_FE</t>
  </si>
  <si>
    <t>Skin_W-A_TASK</t>
  </si>
  <si>
    <t>Tarea</t>
  </si>
  <si>
    <t>Agente</t>
  </si>
  <si>
    <t>I_Activo</t>
  </si>
  <si>
    <t>PFM_BP</t>
  </si>
  <si>
    <t>C_HE</t>
  </si>
  <si>
    <t>C_UA</t>
  </si>
  <si>
    <t>C_FA</t>
  </si>
  <si>
    <t>C_TF</t>
  </si>
  <si>
    <t>C_TB</t>
  </si>
  <si>
    <t>C_LB</t>
  </si>
  <si>
    <t>C_LL</t>
  </si>
  <si>
    <t>C_FE</t>
  </si>
  <si>
    <t xml:space="preserve">Time-weighted estimates </t>
  </si>
  <si>
    <r>
      <t>Skinw-P</t>
    </r>
    <r>
      <rPr>
        <vertAlign val="subscript"/>
        <sz val="11"/>
        <color theme="1"/>
        <rFont val="Calibri"/>
        <family val="2"/>
        <scheme val="minor"/>
      </rPr>
      <t>JOB</t>
    </r>
  </si>
  <si>
    <t>Weighing hygiene conditions</t>
  </si>
  <si>
    <t>O_HA1</t>
  </si>
  <si>
    <t>CE1</t>
  </si>
  <si>
    <t xml:space="preserve">No
(O_BP=1)   
  </t>
  </si>
  <si>
    <t>Company</t>
  </si>
  <si>
    <t>Task</t>
  </si>
  <si>
    <t>Date (dd-mm-aaaa):</t>
  </si>
  <si>
    <t>Observer (full name):</t>
  </si>
  <si>
    <t xml:space="preserve">Questionnaire ID: </t>
  </si>
  <si>
    <t>How is the floor cleaned?</t>
  </si>
  <si>
    <t>How are work tables cleaned?</t>
  </si>
  <si>
    <t>How are the machines cleaned?</t>
  </si>
  <si>
    <t>How are the work tools cleaned?</t>
  </si>
  <si>
    <t>Do workers change their clothes immediately after work?</t>
  </si>
  <si>
    <t>Do workers shower immediately after finishing their work?</t>
  </si>
  <si>
    <t xml:space="preserve">Are workers responsible for washing their work clothes? </t>
  </si>
  <si>
    <t>How do workers normally wash their hands?</t>
  </si>
  <si>
    <t>Total task duration for each worker:</t>
  </si>
  <si>
    <t>Agent</t>
  </si>
  <si>
    <t>Name of the agent:</t>
  </si>
  <si>
    <t xml:space="preserve">Name of the active ingredient:
</t>
  </si>
  <si>
    <t>Physical state of the agent</t>
  </si>
  <si>
    <t>Concentration of the active ingredient in the agent</t>
  </si>
  <si>
    <t>Only for solid agents:
What is the agent formulation?</t>
  </si>
  <si>
    <t>Only for solid agents: 
Is the agent dusty?</t>
  </si>
  <si>
    <t>Only in case of non-powder and non-dusty solids (F≠3 and DU≠3):  
Is the agent sticky/waxy?</t>
  </si>
  <si>
    <t>Only for liquid agents:
How is the agent viscosity?</t>
  </si>
  <si>
    <t>Only for liquid agents:
Boiling temperature of the active ingredient</t>
  </si>
  <si>
    <t>Emission</t>
  </si>
  <si>
    <t>Emission to gloves and uncovered hands; and immersion of hands into agent</t>
  </si>
  <si>
    <t>Indicate the body parts exposed by emission:</t>
  </si>
  <si>
    <t>Upper arm</t>
  </si>
  <si>
    <t>Forearm</t>
  </si>
  <si>
    <t xml:space="preserve">Torso front </t>
  </si>
  <si>
    <t>Torso back</t>
  </si>
  <si>
    <t>Lower body part</t>
  </si>
  <si>
    <t>Lowe leg</t>
  </si>
  <si>
    <t>Deposition</t>
  </si>
  <si>
    <t>Torso front</t>
  </si>
  <si>
    <t xml:space="preserve">Lower leg </t>
  </si>
  <si>
    <t>Probability of deposition on clothing and uncovered skin</t>
  </si>
  <si>
    <t>Intensity (= amount of agent) of emission:</t>
  </si>
  <si>
    <t>Intensity (= amount of agent) of emission to hands:</t>
  </si>
  <si>
    <t>Emission to clothing and uncovered skin from other body parts; and immersion of other body parts into agent</t>
  </si>
  <si>
    <t xml:space="preserve">Body part </t>
  </si>
  <si>
    <t>Contact</t>
  </si>
  <si>
    <t>Indicate the body parts exposed by deposition:</t>
  </si>
  <si>
    <t>Floor</t>
  </si>
  <si>
    <t>Work tables</t>
  </si>
  <si>
    <t>Machines</t>
  </si>
  <si>
    <t>Work tools</t>
  </si>
  <si>
    <t>Surface</t>
  </si>
  <si>
    <t>Other surfaces</t>
  </si>
  <si>
    <t>Unlikely 
(0)</t>
  </si>
  <si>
    <t xml:space="preserve">Occasionally 
(1) </t>
  </si>
  <si>
    <t xml:space="preserve">Repeatedly
(3)                             </t>
  </si>
  <si>
    <t>Possibly contaminated 
(1)</t>
  </si>
  <si>
    <t>Estimate the contamination level of the contact surface</t>
  </si>
  <si>
    <t>Do hands have contact with surfaces or tools?</t>
  </si>
  <si>
    <t>Do other body parts have contact with surfaces or tools?</t>
  </si>
  <si>
    <t>Unlikely
(0)</t>
  </si>
  <si>
    <t xml:space="preserve">Occasionally
(1) </t>
  </si>
  <si>
    <t>Almost 
constantly 
(10)</t>
  </si>
  <si>
    <t>Almost 
constantly
(10)</t>
  </si>
  <si>
    <t>Body part</t>
  </si>
  <si>
    <t>Contact by transfer</t>
  </si>
  <si>
    <t>Yes</t>
  </si>
  <si>
    <t>Lower body</t>
  </si>
  <si>
    <t>Lower leg</t>
  </si>
  <si>
    <t xml:space="preserve">
Indicate the body parts exposed by transfer
</t>
  </si>
  <si>
    <t>Transfer</t>
  </si>
  <si>
    <t>Gloves protection</t>
  </si>
  <si>
    <t>Glove material</t>
  </si>
  <si>
    <t>Barrier cream use</t>
  </si>
  <si>
    <t>Ask the worker: Replacement frequency of inner gloves</t>
  </si>
  <si>
    <t>A second pair of gloves is worn under outer gloves</t>
  </si>
  <si>
    <t>Yes
(O_BP=PFM_BP*M_BP*RF_BP)</t>
  </si>
  <si>
    <t>Daily
(1)</t>
  </si>
  <si>
    <t>Weekly 
(3)</t>
  </si>
  <si>
    <t>Montly 
(10)</t>
  </si>
  <si>
    <t>Is the body part covered?</t>
  </si>
  <si>
    <t>Replacement frequency (Ask the worker)</t>
  </si>
  <si>
    <t>Woven
(0,3)</t>
  </si>
  <si>
    <t>Non-woven permeable
(0.1)</t>
  </si>
  <si>
    <t>Non-woven impermeable
(0.03)</t>
  </si>
  <si>
    <t>Clothing material</t>
  </si>
  <si>
    <t>Open shoes 
(0.3)</t>
  </si>
  <si>
    <t>Close shoes
(0.1)</t>
  </si>
  <si>
    <t>Rubber boots (0.03)</t>
  </si>
  <si>
    <t>Daily
 (0.3)</t>
  </si>
  <si>
    <t>Weekly 
(1)</t>
  </si>
  <si>
    <t>Montly 
(3)</t>
  </si>
  <si>
    <t>Yearly
(10)</t>
  </si>
  <si>
    <t>Department</t>
  </si>
  <si>
    <t>Job</t>
  </si>
  <si>
    <t>Clothes protection</t>
  </si>
  <si>
    <t>Observer</t>
  </si>
  <si>
    <t>Data</t>
  </si>
  <si>
    <t xml:space="preserve">
Non-woven gloves connect well to clothing of arms
</t>
  </si>
  <si>
    <t xml:space="preserve">
Non-woven gloves are worn during
</t>
  </si>
  <si>
    <t xml:space="preserve">Ask the worker: Replacement frequency </t>
  </si>
  <si>
    <t>After shift 
(0.3)</t>
  </si>
  <si>
    <t>≥50% 
of surface
(10)</t>
  </si>
  <si>
    <t>&lt;50% 
of surface
 (3)</t>
  </si>
  <si>
    <t>Possibly
contaminated
(1)</t>
  </si>
  <si>
    <t>Intensity (= amount of agent) of emission to other body parts:</t>
  </si>
  <si>
    <t>Select the body parts covered by clothes or PPE</t>
  </si>
  <si>
    <t>Write the name of the department:</t>
  </si>
  <si>
    <t>Write the job title:</t>
  </si>
  <si>
    <t xml:space="preserve">Write the name of the company: </t>
  </si>
  <si>
    <t>Write the name of the task:</t>
  </si>
  <si>
    <r>
      <rPr>
        <sz val="8"/>
        <color theme="1"/>
        <rFont val="Calibri"/>
        <family val="2"/>
        <scheme val="minor"/>
      </rPr>
      <t xml:space="preserve">NA / Not contaminated </t>
    </r>
    <r>
      <rPr>
        <sz val="7.5"/>
        <color theme="1"/>
        <rFont val="Calibri"/>
        <family val="2"/>
        <scheme val="minor"/>
      </rPr>
      <t xml:space="preserve">
(0)</t>
    </r>
  </si>
  <si>
    <t>NA / Not 
contaminated
(0)</t>
  </si>
  <si>
    <t>No / NA</t>
  </si>
  <si>
    <t>≥50% 
of surface 
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</si>
</sst>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rgb="FF0000FF"/>
      <name val="Arial"/>
      <family val="2"/>
    </font>
    <font>
      <sz val="8"/>
      <color rgb="FF000000"/>
      <name val="Segoe UI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8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7.5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">
    <xf numFmtId="0" fontId="0" fillId="0" borderId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2" fillId="5" borderId="5" applyNumberFormat="0" applyAlignment="0" applyProtection="0"/>
    <xf numFmtId="0" fontId="13" fillId="6" borderId="6" applyNumberFormat="0" applyAlignment="0" applyProtection="0"/>
    <xf numFmtId="0" fontId="14" fillId="6" borderId="5" applyNumberFormat="0" applyAlignment="0" applyProtection="0"/>
    <xf numFmtId="0" fontId="15" fillId="0" borderId="7" applyNumberFormat="0" applyFill="0" applyAlignment="0" applyProtection="0"/>
    <xf numFmtId="0" fontId="16" fillId="7" borderId="8" applyNumberFormat="0" applyAlignment="0" applyProtection="0"/>
    <xf numFmtId="0" fontId="17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9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9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9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9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9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9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4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4" borderId="0" applyNumberFormat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20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32" borderId="0" applyNumberFormat="0" applyBorder="0" applyAlignment="0" applyProtection="0"/>
  </cellStyleXfs>
  <cellXfs count="23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1" fillId="33" borderId="0" xfId="0" applyFont="1" applyFill="1"/>
    <xf numFmtId="0" fontId="0" fillId="33" borderId="0" xfId="0" applyFill="1"/>
    <xf numFmtId="0" fontId="1" fillId="3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9" fillId="0" borderId="0" xfId="0" applyFont="1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35" borderId="1" xfId="0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>
      <alignment horizontal="left" vertical="center"/>
    </xf>
    <xf numFmtId="0" fontId="0" fillId="0" borderId="0" xfId="0" applyProtection="1"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" fillId="0" borderId="0" xfId="0" applyFont="1" applyAlignment="1" applyProtection="1">
      <alignment vertical="center" wrapText="1"/>
      <protection locked="0" hidden="1"/>
    </xf>
    <xf numFmtId="0" fontId="0" fillId="33" borderId="0" xfId="0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5" borderId="1" xfId="0" applyFill="1" applyBorder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35" borderId="1" xfId="0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5" fillId="33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0" fillId="33" borderId="0" xfId="0" applyFill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35" borderId="1" xfId="0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6" fillId="0" borderId="0" xfId="0" applyFont="1" applyAlignment="1" applyProtection="1">
      <alignment wrapText="1"/>
      <protection locked="0"/>
    </xf>
    <xf numFmtId="0" fontId="26" fillId="0" borderId="0" xfId="0" applyFont="1" applyAlignment="1" applyProtection="1">
      <alignment horizontal="center" wrapText="1"/>
      <protection locked="0"/>
    </xf>
    <xf numFmtId="0" fontId="2" fillId="0" borderId="0" xfId="0" applyFont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35" borderId="1" xfId="0" applyFill="1" applyBorder="1"/>
    <xf numFmtId="0" fontId="0" fillId="0" borderId="0" xfId="0" applyAlignment="1">
      <alignment horizontal="center"/>
    </xf>
    <xf numFmtId="0" fontId="0" fillId="0" borderId="0" xfId="0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horizontal="center" wrapText="1"/>
      <protection locked="0"/>
    </xf>
    <xf numFmtId="0" fontId="25" fillId="0" borderId="0" xfId="0" applyFont="1"/>
    <xf numFmtId="0" fontId="25" fillId="0" borderId="0" xfId="0" applyFont="1" applyAlignment="1">
      <alignment horizontal="center"/>
    </xf>
    <xf numFmtId="0" fontId="2" fillId="33" borderId="0" xfId="0" applyFont="1" applyFill="1"/>
    <xf numFmtId="0" fontId="2" fillId="0" borderId="0" xfId="0" applyFont="1"/>
    <xf numFmtId="14" fontId="0" fillId="0" borderId="0" xfId="0" applyNumberFormat="1"/>
    <xf numFmtId="0" fontId="1" fillId="33" borderId="0" xfId="0" applyFont="1" applyFill="1" applyAlignment="1">
      <alignment vertical="center" wrapText="1"/>
    </xf>
    <xf numFmtId="0" fontId="0" fillId="0" borderId="0" xfId="0" applyAlignment="1">
      <alignment horizontal="left" vertical="top"/>
    </xf>
    <xf numFmtId="0" fontId="21" fillId="33" borderId="0" xfId="0" applyFont="1" applyFill="1" applyAlignment="1">
      <alignment horizontal="left" vertical="center"/>
    </xf>
    <xf numFmtId="0" fontId="0" fillId="33" borderId="0" xfId="0" applyFill="1" applyAlignment="1">
      <alignment horizontal="left" vertical="top"/>
    </xf>
    <xf numFmtId="0" fontId="0" fillId="33" borderId="0" xfId="0" applyFill="1" applyAlignment="1">
      <alignment vertical="center"/>
    </xf>
    <xf numFmtId="0" fontId="1" fillId="33" borderId="0" xfId="0" applyFont="1" applyFill="1" applyAlignment="1">
      <alignment horizontal="center" vertical="center" wrapText="1"/>
    </xf>
    <xf numFmtId="0" fontId="21" fillId="33" borderId="0" xfId="0" applyFont="1" applyFill="1"/>
    <xf numFmtId="0" fontId="21" fillId="33" borderId="0" xfId="0" applyFont="1" applyFill="1" applyAlignment="1">
      <alignment vertical="center" wrapText="1"/>
    </xf>
    <xf numFmtId="0" fontId="29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top" wrapText="1"/>
    </xf>
    <xf numFmtId="0" fontId="33" fillId="33" borderId="0" xfId="0" applyFont="1" applyFill="1"/>
    <xf numFmtId="0" fontId="1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2" fillId="33" borderId="0" xfId="0" applyFont="1" applyFill="1" applyAlignment="1">
      <alignment horizontal="left"/>
    </xf>
    <xf numFmtId="0" fontId="1" fillId="34" borderId="0" xfId="0" applyFont="1" applyFill="1" applyAlignment="1">
      <alignment horizontal="center" vertical="center" wrapText="1"/>
    </xf>
    <xf numFmtId="0" fontId="24" fillId="33" borderId="0" xfId="0" applyFont="1" applyFill="1" applyAlignment="1">
      <alignment vertical="center" wrapText="1"/>
    </xf>
    <xf numFmtId="0" fontId="40" fillId="33" borderId="13" xfId="0" applyFont="1" applyFill="1" applyBorder="1" applyAlignment="1" applyProtection="1">
      <alignment vertical="center" wrapText="1"/>
      <protection locked="0"/>
    </xf>
    <xf numFmtId="0" fontId="34" fillId="37" borderId="13" xfId="0" applyFont="1" applyFill="1" applyBorder="1" applyAlignment="1">
      <alignment vertical="center" wrapText="1"/>
    </xf>
    <xf numFmtId="0" fontId="34" fillId="37" borderId="22" xfId="0" applyFont="1" applyFill="1" applyBorder="1" applyAlignment="1">
      <alignment vertical="center" wrapText="1"/>
    </xf>
    <xf numFmtId="0" fontId="34" fillId="37" borderId="20" xfId="0" applyFont="1" applyFill="1" applyBorder="1" applyAlignment="1">
      <alignment vertical="center" wrapText="1"/>
    </xf>
    <xf numFmtId="0" fontId="34" fillId="37" borderId="23" xfId="0" applyFont="1" applyFill="1" applyBorder="1" applyAlignment="1">
      <alignment vertical="center" wrapText="1"/>
    </xf>
    <xf numFmtId="0" fontId="29" fillId="33" borderId="13" xfId="0" applyFont="1" applyFill="1" applyBorder="1" applyAlignment="1" applyProtection="1">
      <alignment vertical="center" wrapText="1"/>
      <protection locked="0"/>
    </xf>
    <xf numFmtId="0" fontId="29" fillId="33" borderId="13" xfId="0" applyFont="1" applyFill="1" applyBorder="1" applyAlignment="1" applyProtection="1">
      <alignment vertical="center"/>
      <protection locked="0"/>
    </xf>
    <xf numFmtId="14" fontId="29" fillId="33" borderId="13" xfId="0" applyNumberFormat="1" applyFont="1" applyFill="1" applyBorder="1" applyAlignment="1" applyProtection="1">
      <alignment vertical="center"/>
      <protection locked="0"/>
    </xf>
    <xf numFmtId="0" fontId="34" fillId="37" borderId="13" xfId="0" applyFont="1" applyFill="1" applyBorder="1" applyAlignment="1">
      <alignment vertical="center"/>
    </xf>
    <xf numFmtId="0" fontId="34" fillId="33" borderId="0" xfId="0" applyFont="1" applyFill="1"/>
    <xf numFmtId="0" fontId="37" fillId="33" borderId="0" xfId="0" applyFont="1" applyFill="1"/>
    <xf numFmtId="0" fontId="34" fillId="37" borderId="13" xfId="0" applyFont="1" applyFill="1" applyBorder="1"/>
    <xf numFmtId="0" fontId="40" fillId="37" borderId="13" xfId="0" applyFont="1" applyFill="1" applyBorder="1" applyAlignment="1">
      <alignment horizontal="center" vertical="center" wrapText="1"/>
    </xf>
    <xf numFmtId="0" fontId="34" fillId="37" borderId="13" xfId="0" applyFont="1" applyFill="1" applyBorder="1" applyAlignment="1">
      <alignment horizontal="center" vertical="center" wrapText="1"/>
    </xf>
    <xf numFmtId="0" fontId="34" fillId="37" borderId="13" xfId="0" applyFont="1" applyFill="1" applyBorder="1" applyAlignment="1">
      <alignment horizontal="center" vertical="center"/>
    </xf>
    <xf numFmtId="0" fontId="34" fillId="37" borderId="22" xfId="0" applyFont="1" applyFill="1" applyBorder="1"/>
    <xf numFmtId="0" fontId="41" fillId="37" borderId="20" xfId="0" applyFont="1" applyFill="1" applyBorder="1"/>
    <xf numFmtId="0" fontId="40" fillId="37" borderId="13" xfId="1" applyFont="1" applyFill="1" applyBorder="1" applyAlignment="1" applyProtection="1">
      <alignment vertical="center" wrapText="1"/>
    </xf>
    <xf numFmtId="0" fontId="34" fillId="33" borderId="13" xfId="0" applyFont="1" applyFill="1" applyBorder="1" applyAlignment="1" applyProtection="1">
      <alignment vertical="center" wrapText="1"/>
      <protection locked="0"/>
    </xf>
    <xf numFmtId="0" fontId="34" fillId="37" borderId="18" xfId="0" applyFont="1" applyFill="1" applyBorder="1" applyAlignment="1">
      <alignment vertical="center" wrapText="1"/>
    </xf>
    <xf numFmtId="0" fontId="34" fillId="37" borderId="25" xfId="0" applyFont="1" applyFill="1" applyBorder="1" applyAlignment="1">
      <alignment vertical="center" wrapText="1"/>
    </xf>
    <xf numFmtId="0" fontId="34" fillId="37" borderId="0" xfId="0" applyFont="1" applyFill="1" applyAlignment="1">
      <alignment vertical="center" wrapText="1"/>
    </xf>
    <xf numFmtId="0" fontId="34" fillId="37" borderId="21" xfId="0" applyFont="1" applyFill="1" applyBorder="1" applyAlignment="1">
      <alignment vertical="center" wrapText="1"/>
    </xf>
    <xf numFmtId="0" fontId="32" fillId="37" borderId="22" xfId="0" applyFont="1" applyFill="1" applyBorder="1" applyAlignment="1">
      <alignment horizontal="center" vertical="center" wrapText="1"/>
    </xf>
    <xf numFmtId="0" fontId="34" fillId="37" borderId="24" xfId="0" applyFont="1" applyFill="1" applyBorder="1" applyAlignment="1">
      <alignment vertical="center" wrapText="1"/>
    </xf>
    <xf numFmtId="0" fontId="34" fillId="37" borderId="28" xfId="0" applyFont="1" applyFill="1" applyBorder="1" applyAlignment="1">
      <alignment vertical="center" wrapText="1"/>
    </xf>
    <xf numFmtId="0" fontId="34" fillId="37" borderId="14" xfId="0" applyFont="1" applyFill="1" applyBorder="1"/>
    <xf numFmtId="0" fontId="34" fillId="37" borderId="25" xfId="0" applyFont="1" applyFill="1" applyBorder="1"/>
    <xf numFmtId="0" fontId="34" fillId="37" borderId="15" xfId="0" applyFont="1" applyFill="1" applyBorder="1" applyAlignment="1">
      <alignment vertical="center" wrapText="1"/>
    </xf>
    <xf numFmtId="0" fontId="34" fillId="37" borderId="26" xfId="0" applyFont="1" applyFill="1" applyBorder="1"/>
    <xf numFmtId="0" fontId="34" fillId="37" borderId="27" xfId="0" applyFont="1" applyFill="1" applyBorder="1" applyAlignment="1">
      <alignment vertical="center" wrapText="1"/>
    </xf>
    <xf numFmtId="0" fontId="43" fillId="37" borderId="22" xfId="0" applyFont="1" applyFill="1" applyBorder="1" applyAlignment="1">
      <alignment horizontal="center" vertical="center" wrapText="1"/>
    </xf>
    <xf numFmtId="0" fontId="33" fillId="37" borderId="13" xfId="0" applyFont="1" applyFill="1" applyBorder="1" applyAlignment="1">
      <alignment horizontal="center" vertical="center" wrapText="1"/>
    </xf>
    <xf numFmtId="0" fontId="32" fillId="37" borderId="13" xfId="0" applyFont="1" applyFill="1" applyBorder="1" applyAlignment="1">
      <alignment horizontal="center" vertical="center" wrapText="1"/>
    </xf>
    <xf numFmtId="0" fontId="44" fillId="37" borderId="13" xfId="0" applyFont="1" applyFill="1" applyBorder="1" applyAlignment="1">
      <alignment horizontal="center" vertical="center" wrapText="1"/>
    </xf>
    <xf numFmtId="0" fontId="27" fillId="33" borderId="0" xfId="0" applyFont="1" applyFill="1"/>
    <xf numFmtId="0" fontId="33" fillId="37" borderId="13" xfId="0" applyFont="1" applyFill="1" applyBorder="1" applyAlignment="1">
      <alignment vertical="center" wrapText="1"/>
    </xf>
    <xf numFmtId="0" fontId="0" fillId="37" borderId="14" xfId="0" applyFill="1" applyBorder="1"/>
    <xf numFmtId="0" fontId="0" fillId="37" borderId="17" xfId="0" applyFill="1" applyBorder="1"/>
    <xf numFmtId="0" fontId="0" fillId="37" borderId="28" xfId="0" applyFill="1" applyBorder="1"/>
    <xf numFmtId="0" fontId="34" fillId="37" borderId="14" xfId="0" applyFont="1" applyFill="1" applyBorder="1" applyAlignment="1">
      <alignment vertical="center" wrapText="1"/>
    </xf>
    <xf numFmtId="0" fontId="34" fillId="37" borderId="19" xfId="0" applyFont="1" applyFill="1" applyBorder="1" applyAlignment="1">
      <alignment vertical="center" wrapText="1"/>
    </xf>
    <xf numFmtId="0" fontId="34" fillId="37" borderId="17" xfId="0" applyFont="1" applyFill="1" applyBorder="1" applyAlignment="1">
      <alignment vertical="center" wrapText="1"/>
    </xf>
    <xf numFmtId="0" fontId="38" fillId="33" borderId="0" xfId="0" applyFont="1" applyFill="1" applyAlignment="1">
      <alignment horizontal="left" vertical="center" wrapText="1"/>
    </xf>
    <xf numFmtId="0" fontId="34" fillId="33" borderId="0" xfId="0" applyFont="1" applyFill="1" applyAlignment="1">
      <alignment vertical="center" wrapText="1"/>
    </xf>
    <xf numFmtId="0" fontId="34" fillId="33" borderId="0" xfId="0" applyFont="1" applyFill="1" applyAlignment="1">
      <alignment horizontal="center" vertical="center" wrapText="1"/>
    </xf>
    <xf numFmtId="0" fontId="0" fillId="33" borderId="0" xfId="0" applyFill="1" applyAlignment="1" applyProtection="1">
      <alignment horizontal="center"/>
      <protection locked="0"/>
    </xf>
    <xf numFmtId="0" fontId="22" fillId="33" borderId="0" xfId="0" applyFont="1" applyFill="1" applyAlignment="1" applyProtection="1">
      <alignment vertical="center" wrapText="1"/>
      <protection locked="0"/>
    </xf>
    <xf numFmtId="0" fontId="1" fillId="33" borderId="0" xfId="0" applyFont="1" applyFill="1" applyAlignment="1" applyProtection="1">
      <alignment vertical="center" wrapText="1"/>
      <protection locked="0"/>
    </xf>
    <xf numFmtId="0" fontId="1" fillId="33" borderId="0" xfId="0" applyFont="1" applyFill="1" applyAlignment="1" applyProtection="1">
      <alignment horizontal="center" vertical="center" wrapText="1"/>
      <protection locked="0"/>
    </xf>
    <xf numFmtId="4" fontId="0" fillId="33" borderId="0" xfId="0" applyNumberFormat="1" applyFill="1"/>
    <xf numFmtId="4" fontId="1" fillId="33" borderId="0" xfId="0" applyNumberFormat="1" applyFont="1" applyFill="1"/>
    <xf numFmtId="4" fontId="0" fillId="33" borderId="0" xfId="0" applyNumberFormat="1" applyFill="1" applyAlignment="1">
      <alignment horizontal="center"/>
    </xf>
    <xf numFmtId="4" fontId="2" fillId="33" borderId="0" xfId="0" applyNumberFormat="1" applyFont="1" applyFill="1" applyAlignment="1">
      <alignment horizontal="left"/>
    </xf>
    <xf numFmtId="4" fontId="2" fillId="33" borderId="0" xfId="0" applyNumberFormat="1" applyFont="1" applyFill="1"/>
    <xf numFmtId="4" fontId="38" fillId="33" borderId="0" xfId="0" applyNumberFormat="1" applyFont="1" applyFill="1" applyAlignment="1">
      <alignment horizontal="left" vertical="center" wrapText="1"/>
    </xf>
    <xf numFmtId="4" fontId="34" fillId="37" borderId="13" xfId="0" applyNumberFormat="1" applyFont="1" applyFill="1" applyBorder="1" applyAlignment="1">
      <alignment horizontal="center" vertical="center" wrapText="1"/>
    </xf>
    <xf numFmtId="4" fontId="34" fillId="37" borderId="13" xfId="0" applyNumberFormat="1" applyFont="1" applyFill="1" applyBorder="1" applyAlignment="1">
      <alignment vertical="center" wrapText="1"/>
    </xf>
    <xf numFmtId="4" fontId="34" fillId="33" borderId="0" xfId="0" applyNumberFormat="1" applyFont="1" applyFill="1" applyAlignment="1">
      <alignment vertical="center" wrapText="1"/>
    </xf>
    <xf numFmtId="4" fontId="34" fillId="33" borderId="0" xfId="0" applyNumberFormat="1" applyFont="1" applyFill="1" applyAlignment="1">
      <alignment horizontal="center" vertical="center" wrapText="1"/>
    </xf>
    <xf numFmtId="4" fontId="34" fillId="37" borderId="13" xfId="0" applyNumberFormat="1" applyFont="1" applyFill="1" applyBorder="1" applyAlignment="1">
      <alignment vertical="center"/>
    </xf>
    <xf numFmtId="4" fontId="34" fillId="37" borderId="13" xfId="0" applyNumberFormat="1" applyFont="1" applyFill="1" applyBorder="1"/>
    <xf numFmtId="4" fontId="34" fillId="33" borderId="0" xfId="0" applyNumberFormat="1" applyFont="1" applyFill="1"/>
    <xf numFmtId="4" fontId="1" fillId="34" borderId="0" xfId="0" applyNumberFormat="1" applyFont="1" applyFill="1" applyAlignment="1">
      <alignment horizontal="center" vertical="center" wrapText="1"/>
    </xf>
    <xf numFmtId="4" fontId="1" fillId="33" borderId="0" xfId="0" applyNumberFormat="1" applyFont="1" applyFill="1" applyAlignment="1">
      <alignment vertical="center" wrapText="1"/>
    </xf>
    <xf numFmtId="4" fontId="1" fillId="33" borderId="0" xfId="0" applyNumberFormat="1" applyFont="1" applyFill="1" applyAlignment="1">
      <alignment horizontal="center" vertical="center" wrapText="1"/>
    </xf>
    <xf numFmtId="0" fontId="39" fillId="33" borderId="0" xfId="0" applyFont="1" applyFill="1" applyAlignment="1">
      <alignment horizontal="left" wrapText="1"/>
    </xf>
    <xf numFmtId="0" fontId="32" fillId="33" borderId="0" xfId="0" applyFont="1" applyFill="1" applyAlignment="1">
      <alignment horizontal="center" vertical="center" wrapText="1"/>
    </xf>
    <xf numFmtId="0" fontId="34" fillId="33" borderId="0" xfId="0" applyFont="1" applyFill="1" applyAlignment="1">
      <alignment horizontal="left" vertical="center" wrapText="1"/>
    </xf>
    <xf numFmtId="0" fontId="21" fillId="33" borderId="0" xfId="0" applyFont="1" applyFill="1" applyAlignment="1" applyProtection="1">
      <alignment vertical="center" wrapText="1"/>
      <protection locked="0"/>
    </xf>
    <xf numFmtId="0" fontId="24" fillId="33" borderId="0" xfId="0" applyFont="1" applyFill="1" applyAlignment="1" applyProtection="1">
      <alignment vertical="center" wrapText="1"/>
      <protection locked="0"/>
    </xf>
    <xf numFmtId="0" fontId="24" fillId="0" borderId="0" xfId="0" applyFont="1" applyAlignment="1" applyProtection="1">
      <alignment vertical="center" wrapText="1"/>
      <protection locked="0"/>
    </xf>
    <xf numFmtId="0" fontId="38" fillId="33" borderId="0" xfId="0" applyFont="1" applyFill="1" applyAlignment="1">
      <alignment horizontal="left"/>
    </xf>
    <xf numFmtId="164" fontId="34" fillId="37" borderId="13" xfId="0" applyNumberFormat="1" applyFont="1" applyFill="1" applyBorder="1" applyAlignment="1">
      <alignment horizontal="center" vertical="center" wrapText="1"/>
    </xf>
    <xf numFmtId="3" fontId="34" fillId="37" borderId="13" xfId="0" applyNumberFormat="1" applyFont="1" applyFill="1" applyBorder="1" applyAlignment="1">
      <alignment horizontal="center" vertical="center" wrapText="1"/>
    </xf>
    <xf numFmtId="0" fontId="34" fillId="37" borderId="22" xfId="0" applyFont="1" applyFill="1" applyBorder="1" applyAlignment="1">
      <alignment horizontal="center" vertical="center" wrapText="1"/>
    </xf>
    <xf numFmtId="0" fontId="40" fillId="37" borderId="13" xfId="0" applyFont="1" applyFill="1" applyBorder="1" applyAlignment="1">
      <alignment vertical="center" wrapText="1"/>
    </xf>
    <xf numFmtId="0" fontId="34" fillId="37" borderId="13" xfId="0" applyFont="1" applyFill="1" applyBorder="1" applyAlignment="1">
      <alignment horizontal="left" vertical="center" wrapText="1"/>
    </xf>
    <xf numFmtId="0" fontId="34" fillId="37" borderId="13" xfId="0" applyFont="1" applyFill="1" applyBorder="1" applyAlignment="1">
      <alignment horizontal="center"/>
    </xf>
    <xf numFmtId="0" fontId="34" fillId="37" borderId="13" xfId="0" applyFont="1" applyFill="1" applyBorder="1" applyAlignment="1">
      <alignment horizontal="left" vertical="top" wrapText="1"/>
    </xf>
    <xf numFmtId="0" fontId="28" fillId="33" borderId="0" xfId="0" applyFont="1" applyFill="1" applyAlignment="1">
      <alignment horizontal="center" vertical="center" wrapText="1"/>
    </xf>
    <xf numFmtId="0" fontId="28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32" fillId="0" borderId="0" xfId="0" applyFont="1" applyAlignment="1">
      <alignment horizontal="center" vertical="top" wrapText="1"/>
    </xf>
    <xf numFmtId="0" fontId="1" fillId="33" borderId="0" xfId="0" applyFont="1" applyFill="1" applyAlignment="1">
      <alignment vertical="center" wrapText="1"/>
    </xf>
    <xf numFmtId="0" fontId="38" fillId="36" borderId="13" xfId="0" applyFont="1" applyFill="1" applyBorder="1" applyAlignment="1">
      <alignment horizontal="left"/>
    </xf>
    <xf numFmtId="0" fontId="38" fillId="36" borderId="14" xfId="0" applyFont="1" applyFill="1" applyBorder="1" applyAlignment="1">
      <alignment vertical="center" wrapText="1"/>
    </xf>
    <xf numFmtId="0" fontId="38" fillId="36" borderId="17" xfId="0" applyFont="1" applyFill="1" applyBorder="1" applyAlignment="1">
      <alignment vertical="center" wrapText="1"/>
    </xf>
    <xf numFmtId="0" fontId="38" fillId="36" borderId="28" xfId="0" applyFont="1" applyFill="1" applyBorder="1" applyAlignment="1">
      <alignment vertical="center" wrapText="1"/>
    </xf>
    <xf numFmtId="0" fontId="34" fillId="37" borderId="13" xfId="0" applyFont="1" applyFill="1" applyBorder="1" applyAlignment="1">
      <alignment horizontal="center" vertical="center" wrapText="1"/>
    </xf>
    <xf numFmtId="0" fontId="34" fillId="37" borderId="14" xfId="0" applyFont="1" applyFill="1" applyBorder="1" applyAlignment="1">
      <alignment vertical="center" wrapText="1"/>
    </xf>
    <xf numFmtId="0" fontId="38" fillId="36" borderId="14" xfId="0" applyFont="1" applyFill="1" applyBorder="1" applyAlignment="1">
      <alignment horizontal="left" vertical="center" wrapText="1"/>
    </xf>
    <xf numFmtId="0" fontId="38" fillId="36" borderId="17" xfId="0" applyFont="1" applyFill="1" applyBorder="1" applyAlignment="1">
      <alignment horizontal="left" vertical="center" wrapText="1"/>
    </xf>
    <xf numFmtId="0" fontId="38" fillId="36" borderId="28" xfId="0" applyFont="1" applyFill="1" applyBorder="1" applyAlignment="1">
      <alignment horizontal="left" vertical="center" wrapText="1"/>
    </xf>
    <xf numFmtId="0" fontId="34" fillId="37" borderId="13" xfId="0" applyFont="1" applyFill="1" applyBorder="1" applyAlignment="1">
      <alignment horizontal="center" vertical="center"/>
    </xf>
    <xf numFmtId="0" fontId="34" fillId="37" borderId="22" xfId="0" applyFont="1" applyFill="1" applyBorder="1" applyAlignment="1">
      <alignment horizontal="left" vertical="center" wrapText="1"/>
    </xf>
    <xf numFmtId="0" fontId="34" fillId="37" borderId="20" xfId="0" applyFont="1" applyFill="1" applyBorder="1" applyAlignment="1">
      <alignment horizontal="left" vertical="center" wrapText="1"/>
    </xf>
    <xf numFmtId="0" fontId="34" fillId="37" borderId="23" xfId="0" applyFont="1" applyFill="1" applyBorder="1" applyAlignment="1">
      <alignment horizontal="left" vertical="center" wrapText="1"/>
    </xf>
    <xf numFmtId="0" fontId="38" fillId="36" borderId="14" xfId="0" applyFont="1" applyFill="1" applyBorder="1" applyAlignment="1">
      <alignment horizontal="left"/>
    </xf>
    <xf numFmtId="0" fontId="38" fillId="36" borderId="17" xfId="0" applyFont="1" applyFill="1" applyBorder="1" applyAlignment="1">
      <alignment horizontal="left"/>
    </xf>
    <xf numFmtId="0" fontId="38" fillId="36" borderId="28" xfId="0" applyFont="1" applyFill="1" applyBorder="1" applyAlignment="1">
      <alignment horizontal="left"/>
    </xf>
    <xf numFmtId="0" fontId="34" fillId="37" borderId="14" xfId="0" applyFont="1" applyFill="1" applyBorder="1" applyAlignment="1">
      <alignment horizontal="center" vertical="center" wrapText="1"/>
    </xf>
    <xf numFmtId="0" fontId="40" fillId="37" borderId="18" xfId="0" applyFont="1" applyFill="1" applyBorder="1" applyAlignment="1">
      <alignment horizontal="left" vertical="center" wrapText="1"/>
    </xf>
    <xf numFmtId="0" fontId="40" fillId="37" borderId="25" xfId="0" applyFont="1" applyFill="1" applyBorder="1" applyAlignment="1">
      <alignment horizontal="left" vertical="center" wrapText="1"/>
    </xf>
    <xf numFmtId="0" fontId="40" fillId="37" borderId="22" xfId="0" applyFont="1" applyFill="1" applyBorder="1" applyAlignment="1">
      <alignment horizontal="left" vertical="center" wrapText="1"/>
    </xf>
    <xf numFmtId="0" fontId="42" fillId="37" borderId="23" xfId="0" applyFont="1" applyFill="1" applyBorder="1" applyAlignment="1">
      <alignment horizontal="left" vertical="center" wrapText="1"/>
    </xf>
    <xf numFmtId="4" fontId="38" fillId="36" borderId="14" xfId="0" applyNumberFormat="1" applyFont="1" applyFill="1" applyBorder="1" applyAlignment="1">
      <alignment horizontal="left" vertical="center" wrapText="1"/>
    </xf>
    <xf numFmtId="4" fontId="38" fillId="36" borderId="17" xfId="0" applyNumberFormat="1" applyFont="1" applyFill="1" applyBorder="1" applyAlignment="1">
      <alignment horizontal="left" vertical="center" wrapText="1"/>
    </xf>
    <xf numFmtId="4" fontId="38" fillId="36" borderId="28" xfId="0" applyNumberFormat="1" applyFont="1" applyFill="1" applyBorder="1" applyAlignment="1">
      <alignment horizontal="left" vertical="center" wrapText="1"/>
    </xf>
    <xf numFmtId="4" fontId="34" fillId="37" borderId="13" xfId="0" applyNumberFormat="1" applyFont="1" applyFill="1" applyBorder="1" applyAlignment="1">
      <alignment horizontal="center" vertical="center" wrapText="1"/>
    </xf>
    <xf numFmtId="4" fontId="34" fillId="37" borderId="13" xfId="0" applyNumberFormat="1" applyFont="1" applyFill="1" applyBorder="1" applyAlignment="1">
      <alignment horizontal="left" vertical="center" wrapText="1"/>
    </xf>
    <xf numFmtId="164" fontId="34" fillId="37" borderId="13" xfId="0" applyNumberFormat="1" applyFont="1" applyFill="1" applyBorder="1" applyAlignment="1">
      <alignment horizontal="center" vertical="center" wrapText="1"/>
    </xf>
    <xf numFmtId="0" fontId="1" fillId="33" borderId="0" xfId="0" applyFont="1" applyFill="1" applyAlignment="1" applyProtection="1">
      <alignment vertical="center" wrapText="1"/>
      <protection locked="0"/>
    </xf>
    <xf numFmtId="4" fontId="34" fillId="37" borderId="13" xfId="0" applyNumberFormat="1" applyFont="1" applyFill="1" applyBorder="1" applyAlignment="1">
      <alignment vertical="center" wrapText="1"/>
    </xf>
    <xf numFmtId="0" fontId="34" fillId="37" borderId="13" xfId="0" applyFont="1" applyFill="1" applyBorder="1" applyAlignment="1">
      <alignment vertical="center" wrapText="1"/>
    </xf>
    <xf numFmtId="0" fontId="34" fillId="37" borderId="13" xfId="0" applyFont="1" applyFill="1" applyBorder="1" applyAlignment="1">
      <alignment horizontal="left" vertical="center" wrapText="1"/>
    </xf>
    <xf numFmtId="0" fontId="34" fillId="37" borderId="22" xfId="0" applyFont="1" applyFill="1" applyBorder="1" applyAlignment="1">
      <alignment horizontal="center" vertical="center" wrapText="1"/>
    </xf>
    <xf numFmtId="0" fontId="34" fillId="37" borderId="20" xfId="0" applyFont="1" applyFill="1" applyBorder="1" applyAlignment="1">
      <alignment horizontal="center" vertical="center" wrapText="1"/>
    </xf>
    <xf numFmtId="0" fontId="34" fillId="37" borderId="23" xfId="0" applyFont="1" applyFill="1" applyBorder="1" applyAlignment="1">
      <alignment horizontal="center" vertical="center" wrapText="1"/>
    </xf>
    <xf numFmtId="0" fontId="34" fillId="37" borderId="14" xfId="0" applyFont="1" applyFill="1" applyBorder="1" applyAlignment="1">
      <alignment horizontal="left" vertical="center" wrapText="1"/>
    </xf>
    <xf numFmtId="0" fontId="34" fillId="37" borderId="17" xfId="0" applyFont="1" applyFill="1" applyBorder="1" applyAlignment="1">
      <alignment horizontal="left" vertical="center" wrapText="1"/>
    </xf>
    <xf numFmtId="0" fontId="34" fillId="37" borderId="28" xfId="0" applyFont="1" applyFill="1" applyBorder="1" applyAlignment="1">
      <alignment horizontal="left" vertical="center" wrapText="1"/>
    </xf>
    <xf numFmtId="0" fontId="34" fillId="37" borderId="17" xfId="0" applyFont="1" applyFill="1" applyBorder="1" applyAlignment="1">
      <alignment horizontal="center" vertical="center" wrapText="1"/>
    </xf>
    <xf numFmtId="0" fontId="34" fillId="37" borderId="28" xfId="0" applyFont="1" applyFill="1" applyBorder="1" applyAlignment="1">
      <alignment horizontal="center" vertical="center" wrapText="1"/>
    </xf>
    <xf numFmtId="0" fontId="34" fillId="37" borderId="19" xfId="0" applyFont="1" applyFill="1" applyBorder="1" applyAlignment="1">
      <alignment vertical="center" wrapText="1"/>
    </xf>
    <xf numFmtId="0" fontId="34" fillId="37" borderId="17" xfId="0" applyFont="1" applyFill="1" applyBorder="1" applyAlignment="1">
      <alignment vertical="center" wrapText="1"/>
    </xf>
    <xf numFmtId="0" fontId="38" fillId="36" borderId="14" xfId="0" applyFont="1" applyFill="1" applyBorder="1" applyAlignment="1">
      <alignment horizontal="left" wrapText="1"/>
    </xf>
    <xf numFmtId="0" fontId="39" fillId="36" borderId="17" xfId="0" applyFont="1" applyFill="1" applyBorder="1" applyAlignment="1">
      <alignment horizontal="left" wrapText="1"/>
    </xf>
    <xf numFmtId="0" fontId="39" fillId="36" borderId="28" xfId="0" applyFont="1" applyFill="1" applyBorder="1" applyAlignment="1">
      <alignment horizontal="left" wrapText="1"/>
    </xf>
    <xf numFmtId="0" fontId="38" fillId="36" borderId="11" xfId="0" applyFont="1" applyFill="1" applyBorder="1" applyAlignment="1">
      <alignment horizontal="left"/>
    </xf>
    <xf numFmtId="0" fontId="38" fillId="36" borderId="16" xfId="0" applyFont="1" applyFill="1" applyBorder="1" applyAlignment="1">
      <alignment horizontal="left"/>
    </xf>
    <xf numFmtId="0" fontId="38" fillId="36" borderId="12" xfId="0" applyFont="1" applyFill="1" applyBorder="1" applyAlignment="1">
      <alignment horizontal="left"/>
    </xf>
    <xf numFmtId="0" fontId="35" fillId="36" borderId="14" xfId="0" applyFont="1" applyFill="1" applyBorder="1" applyAlignment="1">
      <alignment horizontal="left" vertical="center" wrapText="1"/>
    </xf>
    <xf numFmtId="0" fontId="35" fillId="36" borderId="17" xfId="0" applyFont="1" applyFill="1" applyBorder="1" applyAlignment="1">
      <alignment horizontal="left" vertical="center" wrapText="1"/>
    </xf>
    <xf numFmtId="0" fontId="35" fillId="36" borderId="19" xfId="0" applyFont="1" applyFill="1" applyBorder="1" applyAlignment="1">
      <alignment horizontal="left" vertical="center" wrapText="1"/>
    </xf>
    <xf numFmtId="0" fontId="35" fillId="36" borderId="24" xfId="0" applyFont="1" applyFill="1" applyBorder="1" applyAlignment="1">
      <alignment horizontal="left" vertical="center" wrapText="1"/>
    </xf>
    <xf numFmtId="0" fontId="33" fillId="37" borderId="13" xfId="0" applyFont="1" applyFill="1" applyBorder="1" applyAlignment="1">
      <alignment horizontal="center" vertical="center" wrapText="1"/>
    </xf>
    <xf numFmtId="0" fontId="36" fillId="37" borderId="13" xfId="0" applyFont="1" applyFill="1" applyBorder="1" applyAlignment="1">
      <alignment horizontal="center" vertical="center" wrapText="1"/>
    </xf>
    <xf numFmtId="0" fontId="33" fillId="37" borderId="14" xfId="0" applyFont="1" applyFill="1" applyBorder="1" applyAlignment="1">
      <alignment horizontal="left" vertical="center"/>
    </xf>
    <xf numFmtId="0" fontId="33" fillId="37" borderId="17" xfId="0" applyFont="1" applyFill="1" applyBorder="1" applyAlignment="1">
      <alignment horizontal="left" vertical="center"/>
    </xf>
    <xf numFmtId="0" fontId="33" fillId="37" borderId="28" xfId="0" applyFont="1" applyFill="1" applyBorder="1" applyAlignment="1">
      <alignment horizontal="left" vertical="center"/>
    </xf>
    <xf numFmtId="0" fontId="33" fillId="37" borderId="13" xfId="0" applyFont="1" applyFill="1" applyBorder="1" applyAlignment="1">
      <alignment vertical="center" wrapText="1"/>
    </xf>
    <xf numFmtId="0" fontId="33" fillId="37" borderId="14" xfId="0" applyFont="1" applyFill="1" applyBorder="1" applyAlignment="1">
      <alignment horizontal="center" vertical="center" wrapText="1"/>
    </xf>
    <xf numFmtId="0" fontId="3" fillId="38" borderId="29" xfId="1" applyFill="1" applyBorder="1" applyAlignment="1">
      <alignment horizontal="center" vertical="center"/>
    </xf>
    <xf numFmtId="0" fontId="3" fillId="38" borderId="30" xfId="1" applyFill="1" applyBorder="1" applyAlignment="1">
      <alignment horizontal="center" vertical="center"/>
    </xf>
    <xf numFmtId="0" fontId="3" fillId="38" borderId="31" xfId="1" applyFill="1" applyBorder="1" applyAlignment="1">
      <alignment horizontal="center" vertical="center"/>
    </xf>
    <xf numFmtId="0" fontId="3" fillId="0" borderId="29" xfId="1" applyFill="1" applyBorder="1" applyAlignment="1">
      <alignment horizontal="center" vertical="center"/>
    </xf>
    <xf numFmtId="0" fontId="3" fillId="0" borderId="30" xfId="1" applyFill="1" applyBorder="1" applyAlignment="1">
      <alignment horizontal="center" vertical="center"/>
    </xf>
    <xf numFmtId="0" fontId="3" fillId="0" borderId="31" xfId="1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0" fillId="39" borderId="30" xfId="0" applyFill="1" applyBorder="1" applyAlignment="1">
      <alignment horizontal="center"/>
    </xf>
    <xf numFmtId="0" fontId="0" fillId="39" borderId="31" xfId="0" applyFill="1" applyBorder="1" applyAlignment="1">
      <alignment horizontal="center"/>
    </xf>
    <xf numFmtId="0" fontId="0" fillId="38" borderId="29" xfId="0" applyFill="1" applyBorder="1" applyAlignment="1">
      <alignment horizontal="center" vertical="center"/>
    </xf>
    <xf numFmtId="0" fontId="0" fillId="38" borderId="30" xfId="0" applyFill="1" applyBorder="1" applyAlignment="1">
      <alignment horizontal="center" vertical="center"/>
    </xf>
    <xf numFmtId="0" fontId="0" fillId="38" borderId="31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50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Énfasis1 2" xfId="44" xr:uid="{00000000-0005-0000-0000-00000C000000}"/>
    <cellStyle name="60% - Énfasis1 3" xfId="37" xr:uid="{00000000-0005-0000-0000-00000D000000}"/>
    <cellStyle name="60% - Énfasis2 2" xfId="45" xr:uid="{00000000-0005-0000-0000-00000E000000}"/>
    <cellStyle name="60% - Énfasis2 3" xfId="38" xr:uid="{00000000-0005-0000-0000-00000F000000}"/>
    <cellStyle name="60% - Énfasis3 2" xfId="46" xr:uid="{00000000-0005-0000-0000-000010000000}"/>
    <cellStyle name="60% - Énfasis3 3" xfId="39" xr:uid="{00000000-0005-0000-0000-000011000000}"/>
    <cellStyle name="60% - Énfasis4 2" xfId="47" xr:uid="{00000000-0005-0000-0000-000012000000}"/>
    <cellStyle name="60% - Énfasis4 3" xfId="40" xr:uid="{00000000-0005-0000-0000-000013000000}"/>
    <cellStyle name="60% - Énfasis5 2" xfId="48" xr:uid="{00000000-0005-0000-0000-000014000000}"/>
    <cellStyle name="60% - Énfasis5 3" xfId="41" xr:uid="{00000000-0005-0000-0000-000015000000}"/>
    <cellStyle name="60% - Énfasis6 2" xfId="49" xr:uid="{00000000-0005-0000-0000-000016000000}"/>
    <cellStyle name="60% - Énfasis6 3" xfId="42" xr:uid="{00000000-0005-0000-0000-000017000000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9" builtinId="20" customBuiltin="1"/>
    <cellStyle name="Linked Cell" xfId="12" builtinId="24" customBuiltin="1"/>
    <cellStyle name="Neutral 2" xfId="43" xr:uid="{00000000-0005-0000-0000-000027000000}"/>
    <cellStyle name="Neutral 3" xfId="36" xr:uid="{00000000-0005-0000-0000-000028000000}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G$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G$9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G$12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fmlaLink="$G$15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fmlaLink="$F$5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$F$6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firstButton="1" fmlaLink="$F$7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F$8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F$5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G$6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firstButton="1" fmlaLink="$G$9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firstButton="1" fmlaLink="$G$12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Radio" firstButton="1" fmlaLink="$G$15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Radio" firstButton="1" fmlaLink="$G$17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Radio" firstButton="1" fmlaLink="$G$19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Radio" firstButton="1" fmlaLink="$G$20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firstButton="1" fmlaLink="$I$10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$I$11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Radio" firstButton="1" fmlaLink="$I$4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Radio" firstButton="1" fmlaLink="$I$6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fmlaLink="$I$12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firstButton="1" fmlaLink="$I$13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firstButton="1" fmlaLink="$I$14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firstButton="1" fmlaLink="$I$15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firstButton="1" fmlaLink="$I$16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Radio" firstButton="1" fmlaLink="$I$17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firstButton="1" fmlaLink="$I$5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fmlaLink="$I$7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firstButton="1" fmlaLink="$I$8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fmlaLink="$I$9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Radio" firstButton="1" fmlaLink="$I$4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Radio" firstButton="1" fmlaLink="$I$10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firstButton="1" fmlaLink="$I$11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firstButton="1" fmlaLink="$I$12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firstButton="1" fmlaLink="$I$13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firstButton="1" fmlaLink="$I$14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firstButton="1" fmlaLink="$I$15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Radio" firstButton="1" fmlaLink="$I$16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firstButton="1" fmlaLink="$I$5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firstButton="1" fmlaLink="$P$6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firstButton="1" fmlaLink="$P$7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firstButton="1" fmlaLink="$P$8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firstButton="1" fmlaLink="$P$9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firstButton="1" fmlaLink="$P$10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firstButton="1" fmlaLink="$R$6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firstButton="1" fmlaLink="$R$7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firstButton="1" fmlaLink="$R$8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firstButton="1" fmlaLink="$R$9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firstButton="1" fmlaLink="$R$10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Radio" firstButton="1" fmlaLink="$P$13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firstButton="1" fmlaLink="$P$14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Radio" firstButton="1" fmlaLink="$P$15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Radio" lockText="1" noThreeD="1"/>
</file>

<file path=xl/ctrlProps/ctrlProp212.xml><?xml version="1.0" encoding="utf-8"?>
<formControlPr xmlns="http://schemas.microsoft.com/office/spreadsheetml/2009/9/main" objectType="Radio" firstButton="1" fmlaLink="$P$16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firstButton="1" fmlaLink="$P$17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firstButton="1" fmlaLink="$R$13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firstButton="1" fmlaLink="$R$14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firstButton="1" fmlaLink="$R$15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firstButton="1" fmlaLink="$R$16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firstButton="1" fmlaLink="$R$17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Radio" firstButton="1" fmlaLink="$P$20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Radio" firstButton="1" fmlaLink="$P$2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Radio" firstButton="1" fmlaLink="$P$22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firstButton="1" fmlaLink="$P$23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Radio" firstButton="1" fmlaLink="$P$24" lockText="1" noThreeD="1"/>
</file>

<file path=xl/ctrlProps/ctrlProp260.xml><?xml version="1.0" encoding="utf-8"?>
<formControlPr xmlns="http://schemas.microsoft.com/office/spreadsheetml/2009/9/main" objectType="Radio" lockText="1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Radio" firstButton="1" fmlaLink="$P$25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Radio" firstButton="1" fmlaLink="$P$26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Radio" firstButton="1" fmlaLink="$P$27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Radio" firstButton="1" fmlaLink="$H$4" lockText="1" noThreeD="1"/>
</file>

<file path=xl/ctrlProps/ctrlProp272.xml><?xml version="1.0" encoding="utf-8"?>
<formControlPr xmlns="http://schemas.microsoft.com/office/spreadsheetml/2009/9/main" objectType="Radio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Radio" firstButton="1" fmlaLink="$H$5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Radio" firstButton="1" fmlaLink="$H$6" lockText="1" noThreeD="1"/>
</file>

<file path=xl/ctrlProps/ctrlProp280.xml><?xml version="1.0" encoding="utf-8"?>
<formControlPr xmlns="http://schemas.microsoft.com/office/spreadsheetml/2009/9/main" objectType="Radio" lockText="1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Radio" firstButton="1" fmlaLink="$H$7" lockText="1" noThreeD="1"/>
</file>

<file path=xl/ctrlProps/ctrlProp284.xml><?xml version="1.0" encoding="utf-8"?>
<formControlPr xmlns="http://schemas.microsoft.com/office/spreadsheetml/2009/9/main" objectType="Radio" lockText="1" noThreeD="1"/>
</file>

<file path=xl/ctrlProps/ctrlProp285.xml><?xml version="1.0" encoding="utf-8"?>
<formControlPr xmlns="http://schemas.microsoft.com/office/spreadsheetml/2009/9/main" objectType="Radio" lockText="1" noThreeD="1"/>
</file>

<file path=xl/ctrlProps/ctrlProp286.xml><?xml version="1.0" encoding="utf-8"?>
<formControlPr xmlns="http://schemas.microsoft.com/office/spreadsheetml/2009/9/main" objectType="Radio" lockText="1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Radio" firstButton="1" fmlaLink="$H$8" lockText="1" noThreeD="1"/>
</file>

<file path=xl/ctrlProps/ctrlProp289.xml><?xml version="1.0" encoding="utf-8"?>
<formControlPr xmlns="http://schemas.microsoft.com/office/spreadsheetml/2009/9/main" objectType="Radio" lockText="1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Radio" firstButton="1" fmlaLink="$H$9" lockText="1" noThreeD="1"/>
</file>

<file path=xl/ctrlProps/ctrlProp292.xml><?xml version="1.0" encoding="utf-8"?>
<formControlPr xmlns="http://schemas.microsoft.com/office/spreadsheetml/2009/9/main" objectType="Radio" lockText="1" noThreeD="1"/>
</file>

<file path=xl/ctrlProps/ctrlProp293.xml><?xml version="1.0" encoding="utf-8"?>
<formControlPr xmlns="http://schemas.microsoft.com/office/spreadsheetml/2009/9/main" objectType="Radio" lockText="1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Radio" firstButton="1" fmlaLink="$H$10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Radio" lockText="1" noThreeD="1"/>
</file>

<file path=xl/ctrlProps/ctrlProp300.xml><?xml version="1.0" encoding="utf-8"?>
<formControlPr xmlns="http://schemas.microsoft.com/office/spreadsheetml/2009/9/main" objectType="Radio" lockText="1" noThreeD="1"/>
</file>

<file path=xl/ctrlProps/ctrlProp301.xml><?xml version="1.0" encoding="utf-8"?>
<formControlPr xmlns="http://schemas.microsoft.com/office/spreadsheetml/2009/9/main" objectType="Radio" lockText="1" noThreeD="1"/>
</file>

<file path=xl/ctrlProps/ctrlProp302.xml><?xml version="1.0" encoding="utf-8"?>
<formControlPr xmlns="http://schemas.microsoft.com/office/spreadsheetml/2009/9/main" objectType="Radio" lockText="1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Radio" firstButton="1" fmlaLink="$N$7" lockText="1" noThreeD="1"/>
</file>

<file path=xl/ctrlProps/ctrlProp305.xml><?xml version="1.0" encoding="utf-8"?>
<formControlPr xmlns="http://schemas.microsoft.com/office/spreadsheetml/2009/9/main" objectType="Radio" lockText="1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Radio" firstButton="1" fmlaLink="$N$8" lockText="1" noThreeD="1"/>
</file>

<file path=xl/ctrlProps/ctrlProp308.xml><?xml version="1.0" encoding="utf-8"?>
<formControlPr xmlns="http://schemas.microsoft.com/office/spreadsheetml/2009/9/main" objectType="Radio" lockText="1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Radio" firstButton="1" fmlaLink="$N$9" lockText="1" noThreeD="1"/>
</file>

<file path=xl/ctrlProps/ctrlProp311.xml><?xml version="1.0" encoding="utf-8"?>
<formControlPr xmlns="http://schemas.microsoft.com/office/spreadsheetml/2009/9/main" objectType="Radio" lockText="1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Radio" firstButton="1" fmlaLink="$N$10" lockText="1" noThreeD="1"/>
</file>

<file path=xl/ctrlProps/ctrlProp314.xml><?xml version="1.0" encoding="utf-8"?>
<formControlPr xmlns="http://schemas.microsoft.com/office/spreadsheetml/2009/9/main" objectType="Radio" lockText="1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Radio" firstButton="1" fmlaLink="$N$11" lockText="1" noThreeD="1"/>
</file>

<file path=xl/ctrlProps/ctrlProp317.xml><?xml version="1.0" encoding="utf-8"?>
<formControlPr xmlns="http://schemas.microsoft.com/office/spreadsheetml/2009/9/main" objectType="Radio" lockText="1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Radio" firstButton="1" fmlaLink="$N$12" lockText="1" noThreeD="1"/>
</file>

<file path=xl/ctrlProps/ctrlProp320.xml><?xml version="1.0" encoding="utf-8"?>
<formControlPr xmlns="http://schemas.microsoft.com/office/spreadsheetml/2009/9/main" objectType="Radio" lockText="1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Radio" firstButton="1" fmlaLink="$N$13" lockText="1" noThreeD="1"/>
</file>

<file path=xl/ctrlProps/ctrlProp323.xml><?xml version="1.0" encoding="utf-8"?>
<formControlPr xmlns="http://schemas.microsoft.com/office/spreadsheetml/2009/9/main" objectType="Radio" lockText="1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Radio" firstButton="1" fmlaLink="$N$15" lockText="1" noThreeD="1"/>
</file>

<file path=xl/ctrlProps/ctrlProp326.xml><?xml version="1.0" encoding="utf-8"?>
<formControlPr xmlns="http://schemas.microsoft.com/office/spreadsheetml/2009/9/main" objectType="Radio" lockText="1" noThreeD="1"/>
</file>

<file path=xl/ctrlProps/ctrlProp327.xml><?xml version="1.0" encoding="utf-8"?>
<formControlPr xmlns="http://schemas.microsoft.com/office/spreadsheetml/2009/9/main" objectType="Radio" firstButton="1" fmlaLink="$P$7" lockText="1" noThreeD="1"/>
</file>

<file path=xl/ctrlProps/ctrlProp328.xml><?xml version="1.0" encoding="utf-8"?>
<formControlPr xmlns="http://schemas.microsoft.com/office/spreadsheetml/2009/9/main" objectType="Radio" lockText="1" noThreeD="1"/>
</file>

<file path=xl/ctrlProps/ctrlProp329.xml><?xml version="1.0" encoding="utf-8"?>
<formControlPr xmlns="http://schemas.microsoft.com/office/spreadsheetml/2009/9/main" objectType="Radio" lockText="1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Radio" firstButton="1" fmlaLink="$P$8" lockText="1" noThreeD="1"/>
</file>

<file path=xl/ctrlProps/ctrlProp332.xml><?xml version="1.0" encoding="utf-8"?>
<formControlPr xmlns="http://schemas.microsoft.com/office/spreadsheetml/2009/9/main" objectType="Radio" lockText="1" noThreeD="1"/>
</file>

<file path=xl/ctrlProps/ctrlProp333.xml><?xml version="1.0" encoding="utf-8"?>
<formControlPr xmlns="http://schemas.microsoft.com/office/spreadsheetml/2009/9/main" objectType="Radio" lockText="1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Radio" firstButton="1" fmlaLink="$P$9" lockText="1" noThreeD="1"/>
</file>

<file path=xl/ctrlProps/ctrlProp336.xml><?xml version="1.0" encoding="utf-8"?>
<formControlPr xmlns="http://schemas.microsoft.com/office/spreadsheetml/2009/9/main" objectType="Radio" lockText="1" noThreeD="1"/>
</file>

<file path=xl/ctrlProps/ctrlProp337.xml><?xml version="1.0" encoding="utf-8"?>
<formControlPr xmlns="http://schemas.microsoft.com/office/spreadsheetml/2009/9/main" objectType="Radio" lockText="1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Radio" firstButton="1" fmlaLink="$P$10" lockText="1" noThreeD="1"/>
</file>

<file path=xl/ctrlProps/ctrlProp340.xml><?xml version="1.0" encoding="utf-8"?>
<formControlPr xmlns="http://schemas.microsoft.com/office/spreadsheetml/2009/9/main" objectType="Radio" lockText="1" noThreeD="1"/>
</file>

<file path=xl/ctrlProps/ctrlProp341.xml><?xml version="1.0" encoding="utf-8"?>
<formControlPr xmlns="http://schemas.microsoft.com/office/spreadsheetml/2009/9/main" objectType="Radio" lockText="1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Radio" firstButton="1" fmlaLink="$P$11" lockText="1" noThreeD="1"/>
</file>

<file path=xl/ctrlProps/ctrlProp344.xml><?xml version="1.0" encoding="utf-8"?>
<formControlPr xmlns="http://schemas.microsoft.com/office/spreadsheetml/2009/9/main" objectType="Radio" lockText="1" noThreeD="1"/>
</file>

<file path=xl/ctrlProps/ctrlProp345.xml><?xml version="1.0" encoding="utf-8"?>
<formControlPr xmlns="http://schemas.microsoft.com/office/spreadsheetml/2009/9/main" objectType="Radio" lockText="1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Radio" firstButton="1" fmlaLink="$P$12" lockText="1" noThreeD="1"/>
</file>

<file path=xl/ctrlProps/ctrlProp348.xml><?xml version="1.0" encoding="utf-8"?>
<formControlPr xmlns="http://schemas.microsoft.com/office/spreadsheetml/2009/9/main" objectType="Radio" lockText="1" noThreeD="1"/>
</file>

<file path=xl/ctrlProps/ctrlProp349.xml><?xml version="1.0" encoding="utf-8"?>
<formControlPr xmlns="http://schemas.microsoft.com/office/spreadsheetml/2009/9/main" objectType="Radio" lockText="1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Radio" firstButton="1" fmlaLink="$P$13" lockText="1" noThreeD="1"/>
</file>

<file path=xl/ctrlProps/ctrlProp352.xml><?xml version="1.0" encoding="utf-8"?>
<formControlPr xmlns="http://schemas.microsoft.com/office/spreadsheetml/2009/9/main" objectType="Radio" lockText="1" noThreeD="1"/>
</file>

<file path=xl/ctrlProps/ctrlProp353.xml><?xml version="1.0" encoding="utf-8"?>
<formControlPr xmlns="http://schemas.microsoft.com/office/spreadsheetml/2009/9/main" objectType="Radio" lockText="1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Radio" firstButton="1" fmlaLink="$R$7" lockText="1" noThreeD="1"/>
</file>

<file path=xl/ctrlProps/ctrlProp356.xml><?xml version="1.0" encoding="utf-8"?>
<formControlPr xmlns="http://schemas.microsoft.com/office/spreadsheetml/2009/9/main" objectType="Radio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lockText="1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Radio" firstButton="1" fmlaLink="$R$8" lockText="1" noThreeD="1"/>
</file>

<file path=xl/ctrlProps/ctrlProp361.xml><?xml version="1.0" encoding="utf-8"?>
<formControlPr xmlns="http://schemas.microsoft.com/office/spreadsheetml/2009/9/main" objectType="Radio" lockText="1" noThreeD="1"/>
</file>

<file path=xl/ctrlProps/ctrlProp362.xml><?xml version="1.0" encoding="utf-8"?>
<formControlPr xmlns="http://schemas.microsoft.com/office/spreadsheetml/2009/9/main" objectType="Radio" lockText="1" noThreeD="1"/>
</file>

<file path=xl/ctrlProps/ctrlProp363.xml><?xml version="1.0" encoding="utf-8"?>
<formControlPr xmlns="http://schemas.microsoft.com/office/spreadsheetml/2009/9/main" objectType="Radio" lockText="1" noThreeD="1"/>
</file>

<file path=xl/ctrlProps/ctrlProp364.xml><?xml version="1.0" encoding="utf-8"?>
<formControlPr xmlns="http://schemas.microsoft.com/office/spreadsheetml/2009/9/main" objectType="GBox" noThreeD="1"/>
</file>

<file path=xl/ctrlProps/ctrlProp365.xml><?xml version="1.0" encoding="utf-8"?>
<formControlPr xmlns="http://schemas.microsoft.com/office/spreadsheetml/2009/9/main" objectType="Radio" firstButton="1" fmlaLink="$R$9" lockText="1" noThreeD="1"/>
</file>

<file path=xl/ctrlProps/ctrlProp366.xml><?xml version="1.0" encoding="utf-8"?>
<formControlPr xmlns="http://schemas.microsoft.com/office/spreadsheetml/2009/9/main" objectType="Radio" lockText="1" noThreeD="1"/>
</file>

<file path=xl/ctrlProps/ctrlProp367.xml><?xml version="1.0" encoding="utf-8"?>
<formControlPr xmlns="http://schemas.microsoft.com/office/spreadsheetml/2009/9/main" objectType="Radio" lockText="1" noThreeD="1"/>
</file>

<file path=xl/ctrlProps/ctrlProp368.xml><?xml version="1.0" encoding="utf-8"?>
<formControlPr xmlns="http://schemas.microsoft.com/office/spreadsheetml/2009/9/main" objectType="Radio" lockText="1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Radio" firstButton="1" fmlaLink="$R$10" lockText="1" noThreeD="1"/>
</file>

<file path=xl/ctrlProps/ctrlProp371.xml><?xml version="1.0" encoding="utf-8"?>
<formControlPr xmlns="http://schemas.microsoft.com/office/spreadsheetml/2009/9/main" objectType="Radio" lockText="1" noThreeD="1"/>
</file>

<file path=xl/ctrlProps/ctrlProp372.xml><?xml version="1.0" encoding="utf-8"?>
<formControlPr xmlns="http://schemas.microsoft.com/office/spreadsheetml/2009/9/main" objectType="Radio" lockText="1" noThreeD="1"/>
</file>

<file path=xl/ctrlProps/ctrlProp373.xml><?xml version="1.0" encoding="utf-8"?>
<formControlPr xmlns="http://schemas.microsoft.com/office/spreadsheetml/2009/9/main" objectType="Radio" lockText="1" noThreeD="1"/>
</file>

<file path=xl/ctrlProps/ctrlProp374.xml><?xml version="1.0" encoding="utf-8"?>
<formControlPr xmlns="http://schemas.microsoft.com/office/spreadsheetml/2009/9/main" objectType="GBox" noThreeD="1"/>
</file>

<file path=xl/ctrlProps/ctrlProp375.xml><?xml version="1.0" encoding="utf-8"?>
<formControlPr xmlns="http://schemas.microsoft.com/office/spreadsheetml/2009/9/main" objectType="Radio" firstButton="1" fmlaLink="$R$11" lockText="1" noThreeD="1"/>
</file>

<file path=xl/ctrlProps/ctrlProp376.xml><?xml version="1.0" encoding="utf-8"?>
<formControlPr xmlns="http://schemas.microsoft.com/office/spreadsheetml/2009/9/main" objectType="Radio" lockText="1" noThreeD="1"/>
</file>

<file path=xl/ctrlProps/ctrlProp377.xml><?xml version="1.0" encoding="utf-8"?>
<formControlPr xmlns="http://schemas.microsoft.com/office/spreadsheetml/2009/9/main" objectType="Radio" lockText="1" noThreeD="1"/>
</file>

<file path=xl/ctrlProps/ctrlProp378.xml><?xml version="1.0" encoding="utf-8"?>
<formControlPr xmlns="http://schemas.microsoft.com/office/spreadsheetml/2009/9/main" objectType="Radio" lockText="1" noThreeD="1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Radio" firstButton="1" fmlaLink="$R$12" lockText="1" noThreeD="1"/>
</file>

<file path=xl/ctrlProps/ctrlProp381.xml><?xml version="1.0" encoding="utf-8"?>
<formControlPr xmlns="http://schemas.microsoft.com/office/spreadsheetml/2009/9/main" objectType="Radio" lockText="1" noThreeD="1"/>
</file>

<file path=xl/ctrlProps/ctrlProp382.xml><?xml version="1.0" encoding="utf-8"?>
<formControlPr xmlns="http://schemas.microsoft.com/office/spreadsheetml/2009/9/main" objectType="Radio" lockText="1" noThreeD="1"/>
</file>

<file path=xl/ctrlProps/ctrlProp383.xml><?xml version="1.0" encoding="utf-8"?>
<formControlPr xmlns="http://schemas.microsoft.com/office/spreadsheetml/2009/9/main" objectType="Radio" lockText="1" noThreeD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Radio" firstButton="1" fmlaLink="$R$13" lockText="1" noThreeD="1"/>
</file>

<file path=xl/ctrlProps/ctrlProp386.xml><?xml version="1.0" encoding="utf-8"?>
<formControlPr xmlns="http://schemas.microsoft.com/office/spreadsheetml/2009/9/main" objectType="Radio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GBox" noThreeD="1"/>
</file>

<file path=xl/ctrlProps/ctrlProp390.xml><?xml version="1.0" encoding="utf-8"?>
<formControlPr xmlns="http://schemas.microsoft.com/office/spreadsheetml/2009/9/main" objectType="Radio" firstButton="1" fmlaLink="$P$15" lockText="1" noThreeD="1"/>
</file>

<file path=xl/ctrlProps/ctrlProp391.xml><?xml version="1.0" encoding="utf-8"?>
<formControlPr xmlns="http://schemas.microsoft.com/office/spreadsheetml/2009/9/main" objectType="Radio" lockText="1" noThreeD="1"/>
</file>

<file path=xl/ctrlProps/ctrlProp392.xml><?xml version="1.0" encoding="utf-8"?>
<formControlPr xmlns="http://schemas.microsoft.com/office/spreadsheetml/2009/9/main" objectType="Radio" lockText="1" noThreeD="1"/>
</file>

<file path=xl/ctrlProps/ctrlProp393.xml><?xml version="1.0" encoding="utf-8"?>
<formControlPr xmlns="http://schemas.microsoft.com/office/spreadsheetml/2009/9/main" objectType="GBox" noThreeD="1"/>
</file>

<file path=xl/ctrlProps/ctrlProp394.xml><?xml version="1.0" encoding="utf-8"?>
<formControlPr xmlns="http://schemas.microsoft.com/office/spreadsheetml/2009/9/main" objectType="Radio" firstButton="1" fmlaLink="$R$15" lockText="1" noThreeD="1"/>
</file>

<file path=xl/ctrlProps/ctrlProp395.xml><?xml version="1.0" encoding="utf-8"?>
<formControlPr xmlns="http://schemas.microsoft.com/office/spreadsheetml/2009/9/main" objectType="Radio" lockText="1" noThreeD="1"/>
</file>

<file path=xl/ctrlProps/ctrlProp396.xml><?xml version="1.0" encoding="utf-8"?>
<formControlPr xmlns="http://schemas.microsoft.com/office/spreadsheetml/2009/9/main" objectType="Radio" lockText="1" noThreeD="1"/>
</file>

<file path=xl/ctrlProps/ctrlProp397.xml><?xml version="1.0" encoding="utf-8"?>
<formControlPr xmlns="http://schemas.microsoft.com/office/spreadsheetml/2009/9/main" objectType="Radio" lockText="1" noThreeD="1"/>
</file>

<file path=xl/ctrlProps/ctrlProp39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1. Empresa'!A1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4. Tarea'!A1"/><Relationship Id="rId7" Type="http://schemas.openxmlformats.org/officeDocument/2006/relationships/hyperlink" Target="#'6. Transferencia'!A1"/><Relationship Id="rId12" Type="http://schemas.openxmlformats.org/officeDocument/2006/relationships/hyperlink" Target="#Inicio!A1"/><Relationship Id="rId2" Type="http://schemas.openxmlformats.org/officeDocument/2006/relationships/hyperlink" Target="#'3. Puesto'!A1"/><Relationship Id="rId1" Type="http://schemas.openxmlformats.org/officeDocument/2006/relationships/hyperlink" Target="#'1. Empresa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5. Agente'!A1"/><Relationship Id="rId9" Type="http://schemas.openxmlformats.org/officeDocument/2006/relationships/hyperlink" Target="#'6. Protecci&#243;n Ropa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4. Tarea'!A1"/><Relationship Id="rId7" Type="http://schemas.openxmlformats.org/officeDocument/2006/relationships/hyperlink" Target="#'6. Transferencia'!A1"/><Relationship Id="rId2" Type="http://schemas.openxmlformats.org/officeDocument/2006/relationships/hyperlink" Target="#'3. Puesto'!A1"/><Relationship Id="rId1" Type="http://schemas.openxmlformats.org/officeDocument/2006/relationships/hyperlink" Target="#'1. Empresa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5. Agente'!A1"/><Relationship Id="rId9" Type="http://schemas.openxmlformats.org/officeDocument/2006/relationships/hyperlink" Target="#'6. Protecci&#243;n Ropa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6. Transferencia'!A1"/><Relationship Id="rId3" Type="http://schemas.openxmlformats.org/officeDocument/2006/relationships/hyperlink" Target="#'1. Empresa'!A1"/><Relationship Id="rId7" Type="http://schemas.openxmlformats.org/officeDocument/2006/relationships/hyperlink" Target="#'6. Deposici&#243;n'!A1"/><Relationship Id="rId2" Type="http://schemas.openxmlformats.org/officeDocument/2006/relationships/hyperlink" Target="#'2. Departamento'!A1"/><Relationship Id="rId1" Type="http://schemas.openxmlformats.org/officeDocument/2006/relationships/hyperlink" Target="#'4. Tarea'!A1"/><Relationship Id="rId6" Type="http://schemas.openxmlformats.org/officeDocument/2006/relationships/hyperlink" Target="#'6. Emisi&#243;n'!A1"/><Relationship Id="rId11" Type="http://schemas.openxmlformats.org/officeDocument/2006/relationships/hyperlink" Target="#Data!A1"/><Relationship Id="rId5" Type="http://schemas.openxmlformats.org/officeDocument/2006/relationships/hyperlink" Target="#'5. Agente'!A1"/><Relationship Id="rId10" Type="http://schemas.openxmlformats.org/officeDocument/2006/relationships/hyperlink" Target="#'6. Protecci&#243;n Ropa'!A1"/><Relationship Id="rId4" Type="http://schemas.openxmlformats.org/officeDocument/2006/relationships/hyperlink" Target="#'3. Puesto'!A1"/><Relationship Id="rId9" Type="http://schemas.openxmlformats.org/officeDocument/2006/relationships/hyperlink" Target="#'6. Protecci&#243;n Guante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1. Empresa'!A1"/><Relationship Id="rId7" Type="http://schemas.openxmlformats.org/officeDocument/2006/relationships/hyperlink" Target="#'6. Transferencia'!A1"/><Relationship Id="rId2" Type="http://schemas.openxmlformats.org/officeDocument/2006/relationships/hyperlink" Target="#'3. Puesto'!A1"/><Relationship Id="rId1" Type="http://schemas.openxmlformats.org/officeDocument/2006/relationships/hyperlink" Target="#'5. Agente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4. Tarea'!A1"/><Relationship Id="rId9" Type="http://schemas.openxmlformats.org/officeDocument/2006/relationships/hyperlink" Target="#'6. Protecci&#243;n Ropa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1. Empresa'!A1"/><Relationship Id="rId7" Type="http://schemas.openxmlformats.org/officeDocument/2006/relationships/hyperlink" Target="#'6. Transferencia'!A1"/><Relationship Id="rId2" Type="http://schemas.openxmlformats.org/officeDocument/2006/relationships/hyperlink" Target="#'4. Tarea'!A1"/><Relationship Id="rId1" Type="http://schemas.openxmlformats.org/officeDocument/2006/relationships/hyperlink" Target="#'6. Emisi&#243;n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5. Agente'!A1"/><Relationship Id="rId10" Type="http://schemas.openxmlformats.org/officeDocument/2006/relationships/hyperlink" Target="#'2. Departamento'!A1"/><Relationship Id="rId4" Type="http://schemas.openxmlformats.org/officeDocument/2006/relationships/hyperlink" Target="#'3. Puesto'!A1"/><Relationship Id="rId9" Type="http://schemas.openxmlformats.org/officeDocument/2006/relationships/hyperlink" Target="#'6. Protecci&#243;n Ropa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6. Emisi&#243;n'!A1"/><Relationship Id="rId7" Type="http://schemas.openxmlformats.org/officeDocument/2006/relationships/hyperlink" Target="#'6. Transferencia'!A1"/><Relationship Id="rId2" Type="http://schemas.openxmlformats.org/officeDocument/2006/relationships/hyperlink" Target="#'5. Agente'!A1"/><Relationship Id="rId1" Type="http://schemas.openxmlformats.org/officeDocument/2006/relationships/hyperlink" Target="#'6. Deposici&#243;n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Ropa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1. Empresa'!A1"/><Relationship Id="rId7" Type="http://schemas.openxmlformats.org/officeDocument/2006/relationships/hyperlink" Target="#'6. Deposici&#243;n'!A1"/><Relationship Id="rId2" Type="http://schemas.openxmlformats.org/officeDocument/2006/relationships/hyperlink" Target="#'6. Emisi&#243;n'!A1"/><Relationship Id="rId1" Type="http://schemas.openxmlformats.org/officeDocument/2006/relationships/hyperlink" Target="#'6. Transferencia'!A1"/><Relationship Id="rId6" Type="http://schemas.openxmlformats.org/officeDocument/2006/relationships/hyperlink" Target="#'5. Agente'!A1"/><Relationship Id="rId11" Type="http://schemas.openxmlformats.org/officeDocument/2006/relationships/hyperlink" Target="#Data!A1"/><Relationship Id="rId5" Type="http://schemas.openxmlformats.org/officeDocument/2006/relationships/hyperlink" Target="#'4. Tarea'!A1"/><Relationship Id="rId10" Type="http://schemas.openxmlformats.org/officeDocument/2006/relationships/hyperlink" Target="#'2. Departamento'!A1"/><Relationship Id="rId4" Type="http://schemas.openxmlformats.org/officeDocument/2006/relationships/hyperlink" Target="#'3. Puesto'!A1"/><Relationship Id="rId9" Type="http://schemas.openxmlformats.org/officeDocument/2006/relationships/hyperlink" Target="#'6. Protecci&#243;n Ropa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6. Transferencia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Deposici&#243;n'!A1"/><Relationship Id="rId1" Type="http://schemas.openxmlformats.org/officeDocument/2006/relationships/hyperlink" Target="#'6. Protecci&#243;n Guantes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Ropa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6. Deposici&#243;n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Transferencia'!A1"/><Relationship Id="rId1" Type="http://schemas.openxmlformats.org/officeDocument/2006/relationships/hyperlink" Target="#'6. Protecci&#243;n Ropa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Guante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6. Deposici&#243;n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Protecci&#243;n Guantes'!A1"/><Relationship Id="rId1" Type="http://schemas.openxmlformats.org/officeDocument/2006/relationships/hyperlink" Target="#Data!A1"/><Relationship Id="rId6" Type="http://schemas.openxmlformats.org/officeDocument/2006/relationships/hyperlink" Target="#'4. Tarea'!A1"/><Relationship Id="rId11" Type="http://schemas.openxmlformats.org/officeDocument/2006/relationships/hyperlink" Target="#'2. Departamento'!A1"/><Relationship Id="rId5" Type="http://schemas.openxmlformats.org/officeDocument/2006/relationships/hyperlink" Target="#'3. Puesto'!A1"/><Relationship Id="rId10" Type="http://schemas.openxmlformats.org/officeDocument/2006/relationships/hyperlink" Target="#'6. Protecci&#243;n Ropa'!A1"/><Relationship Id="rId4" Type="http://schemas.openxmlformats.org/officeDocument/2006/relationships/hyperlink" Target="#'1. Empresa'!A1"/><Relationship Id="rId9" Type="http://schemas.openxmlformats.org/officeDocument/2006/relationships/hyperlink" Target="#'6. Transferencia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Data_Empresa"/><Relationship Id="rId1" Type="http://schemas.openxmlformats.org/officeDocument/2006/relationships/hyperlink" Target="#Data_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441258</xdr:colOff>
      <xdr:row>17</xdr:row>
      <xdr:rowOff>79709</xdr:rowOff>
    </xdr:from>
    <xdr:to>
      <xdr:col>4</xdr:col>
      <xdr:colOff>372678</xdr:colOff>
      <xdr:row>19</xdr:row>
      <xdr:rowOff>125429</xdr:rowOff>
    </xdr:to>
    <xdr:sp macro="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3511" y="3215941"/>
          <a:ext cx="725504" cy="230204"/>
        </a:xfrm>
        <a:prstGeom prst="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effectLst/>
            </a:rPr>
            <a:t>Start</a:t>
          </a:r>
        </a:p>
      </xdr:txBody>
    </xdr:sp>
    <xdr:clientData/>
  </xdr:twoCellAnchor>
  <xdr:twoCellAnchor editAs="oneCell">
    <xdr:from>
      <xdr:col>7</xdr:col>
      <xdr:colOff>5442556</xdr:colOff>
      <xdr:row>15</xdr:row>
      <xdr:rowOff>135210</xdr:rowOff>
    </xdr:from>
    <xdr:to>
      <xdr:col>8</xdr:col>
      <xdr:colOff>542</xdr:colOff>
      <xdr:row>1048576</xdr:row>
      <xdr:rowOff>66113</xdr:rowOff>
    </xdr:to>
    <xdr:pic>
      <xdr:nvPicPr>
        <xdr:cNvPr id="23" name="Picture 14" descr="Universidad Nacional de Costa Rica - Wikipedia, la enciclopedia libr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4756" y="2992710"/>
          <a:ext cx="1086151" cy="883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342900</xdr:colOff>
      <xdr:row>0</xdr:row>
      <xdr:rowOff>163830</xdr:rowOff>
    </xdr:from>
    <xdr:to>
      <xdr:col>7</xdr:col>
      <xdr:colOff>555760</xdr:colOff>
      <xdr:row>16</xdr:row>
      <xdr:rowOff>64470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342900" y="167640"/>
          <a:ext cx="5743075" cy="2788620"/>
          <a:chOff x="342900" y="114300"/>
          <a:chExt cx="5743075" cy="2807670"/>
        </a:xfrm>
      </xdr:grpSpPr>
      <xdr:sp macro="" textlink="">
        <xdr:nvSpPr>
          <xdr:cNvPr id="6" name="Rectángul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78152" y="114300"/>
            <a:ext cx="4776483" cy="6034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MX" sz="1400" b="1">
                <a:solidFill>
                  <a:sysClr val="windowText" lastClr="000000"/>
                </a:solidFill>
              </a:rPr>
              <a:t>DREAM: A Method for Semi-quantitative Dermal </a:t>
            </a:r>
          </a:p>
          <a:p>
            <a:pPr algn="ctr"/>
            <a:r>
              <a:rPr lang="es-MX" sz="1400" b="1">
                <a:solidFill>
                  <a:sysClr val="windowText" lastClr="000000"/>
                </a:solidFill>
              </a:rPr>
              <a:t>Exposure Assessment</a:t>
            </a:r>
            <a:endParaRPr lang="es-MX" sz="16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342900" y="1002570"/>
            <a:ext cx="1943084" cy="11577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100">
                <a:solidFill>
                  <a:sysClr val="windowText" lastClr="000000"/>
                </a:solidFill>
              </a:rPr>
              <a:t>Berna Van Wendel de Joode Derk H Brouwer                              Roel</a:t>
            </a:r>
            <a:r>
              <a:rPr lang="es-MX" sz="1100" baseline="0">
                <a:solidFill>
                  <a:sysClr val="windowText" lastClr="000000"/>
                </a:solidFill>
              </a:rPr>
              <a:t> Vermeulen                                    Joop J Van Hemmen                       Dick  Heederik                                   Hans Kromhout                                                        </a:t>
            </a:r>
            <a:endParaRPr lang="es-MX" sz="9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42900" y="782615"/>
            <a:ext cx="1808551" cy="25836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050" b="1">
                <a:solidFill>
                  <a:sysClr val="windowText" lastClr="000000"/>
                </a:solidFill>
              </a:rPr>
              <a:t>Method developed by</a:t>
            </a:r>
            <a:r>
              <a:rPr lang="es-MX" sz="1000" b="1">
                <a:solidFill>
                  <a:sysClr val="windowText" lastClr="000000"/>
                </a:solidFill>
              </a:rPr>
              <a:t>:</a:t>
            </a:r>
            <a:endParaRPr lang="es-MX" sz="900" b="1">
              <a:solidFill>
                <a:sysClr val="windowText" lastClr="000000"/>
              </a:solidFill>
            </a:endParaRPr>
          </a:p>
        </xdr:txBody>
      </xdr:sp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750"/>
          <a:stretch/>
        </xdr:blipFill>
        <xdr:spPr>
          <a:xfrm>
            <a:off x="2198846" y="796455"/>
            <a:ext cx="980727" cy="783873"/>
          </a:xfrm>
          <a:prstGeom prst="rect">
            <a:avLst/>
          </a:prstGeom>
        </xdr:spPr>
      </xdr:pic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43701" y="2264986"/>
            <a:ext cx="2354921" cy="2208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050" b="1">
                <a:solidFill>
                  <a:sysClr val="windowText" lastClr="000000"/>
                </a:solidFill>
              </a:rPr>
              <a:t>Excel tool financed by:</a:t>
            </a:r>
            <a:endParaRPr lang="es-MX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1" name="Rectángul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43700" y="2524998"/>
            <a:ext cx="2344304" cy="24397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100" b="0">
                <a:solidFill>
                  <a:sysClr val="windowText" lastClr="000000"/>
                </a:solidFill>
              </a:rPr>
              <a:t>NIH</a:t>
            </a:r>
            <a:r>
              <a:rPr lang="es-MX" sz="1100" b="0" baseline="0">
                <a:solidFill>
                  <a:sysClr val="windowText" lastClr="000000"/>
                </a:solidFill>
              </a:rPr>
              <a:t> (Grant number: </a:t>
            </a:r>
            <a:r>
              <a:rPr lang="es-MX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D43TW011403)</a:t>
            </a:r>
            <a:endParaRPr lang="es-MX" sz="900" b="0">
              <a:solidFill>
                <a:sysClr val="windowText" lastClr="000000"/>
              </a:solidFill>
            </a:endParaRPr>
          </a:p>
        </xdr:txBody>
      </xdr:sp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64373" y="2216196"/>
            <a:ext cx="335135" cy="593960"/>
          </a:xfrm>
          <a:prstGeom prst="rect">
            <a:avLst/>
          </a:prstGeom>
        </xdr:spPr>
      </xdr:pic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160" y="2286767"/>
            <a:ext cx="684509" cy="510899"/>
          </a:xfrm>
          <a:prstGeom prst="rect">
            <a:avLst/>
          </a:prstGeom>
        </xdr:spPr>
      </xdr:pic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749" r="16146"/>
          <a:stretch/>
        </xdr:blipFill>
        <xdr:spPr>
          <a:xfrm>
            <a:off x="4732095" y="2007640"/>
            <a:ext cx="1129217" cy="914330"/>
          </a:xfrm>
          <a:prstGeom prst="rect">
            <a:avLst/>
          </a:prstGeom>
        </xdr:spPr>
      </xdr:pic>
      <xdr:sp macro="" textlink="">
        <xdr:nvSpPr>
          <xdr:cNvPr id="3" name="Rectángulo 19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160398" y="783389"/>
            <a:ext cx="1623444" cy="2055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050" b="1">
                <a:solidFill>
                  <a:sysClr val="windowText" lastClr="000000"/>
                </a:solidFill>
              </a:rPr>
              <a:t>Excel tool </a:t>
            </a:r>
            <a:r>
              <a:rPr lang="es-MX" sz="1050" b="1" baseline="0">
                <a:solidFill>
                  <a:sysClr val="windowText" lastClr="000000"/>
                </a:solidFill>
              </a:rPr>
              <a:t> developed by:</a:t>
            </a:r>
            <a:endParaRPr lang="es-MX" sz="9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ángulo 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160332" y="1001563"/>
            <a:ext cx="1925643" cy="4653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MX" sz="1100">
                <a:solidFill>
                  <a:sysClr val="windowText" lastClr="000000"/>
                </a:solidFill>
              </a:rPr>
              <a:t>Keneth Masis Leandro                  Berna Van Wendel de Joode </a:t>
            </a:r>
            <a:endParaRPr lang="es-MX" sz="900" b="0">
              <a:solidFill>
                <a:sysClr val="windowText" lastClr="000000"/>
              </a:solidFill>
            </a:endParaRP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9373" y="1588541"/>
            <a:ext cx="1209868" cy="41076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98213</xdr:colOff>
      <xdr:row>5</xdr:row>
      <xdr:rowOff>4234</xdr:rowOff>
    </xdr:from>
    <xdr:to>
      <xdr:col>4</xdr:col>
      <xdr:colOff>494453</xdr:colOff>
      <xdr:row>5</xdr:row>
      <xdr:rowOff>232834</xdr:rowOff>
    </xdr:to>
    <xdr:sp macro="[0]!InsertDate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27438" y="956734"/>
          <a:ext cx="986790" cy="22860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Insert date</a:t>
          </a:r>
          <a:endParaRPr lang="en-US" sz="9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15</xdr:row>
      <xdr:rowOff>27553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361950"/>
          <a:ext cx="1009649" cy="2949823"/>
          <a:chOff x="0" y="365760"/>
          <a:chExt cx="1013459" cy="2953633"/>
        </a:xfrm>
      </xdr:grpSpPr>
      <xdr:sp macro="" textlink="">
        <xdr:nvSpPr>
          <xdr:cNvPr id="31" name="Redondear rectángulo de esquina del mismo lado 3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 rot="5400000">
            <a:off x="378655" y="-12895"/>
            <a:ext cx="256150" cy="1013459"/>
          </a:xfrm>
          <a:prstGeom prst="round2SameRect">
            <a:avLst/>
          </a:prstGeom>
          <a:solidFill>
            <a:schemeClr val="accent3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chemeClr val="bg1"/>
                </a:solidFill>
              </a:rPr>
              <a:t>1.</a:t>
            </a:r>
            <a:r>
              <a:rPr lang="en-US" sz="1000" baseline="0">
                <a:solidFill>
                  <a:schemeClr val="bg1"/>
                </a:solidFill>
              </a:rPr>
              <a:t> Company</a:t>
            </a:r>
            <a:endParaRPr lang="en-US" sz="1000">
              <a:solidFill>
                <a:schemeClr val="bg1"/>
              </a:solidFill>
            </a:endParaRPr>
          </a:p>
        </xdr:txBody>
      </xdr:sp>
      <xdr:sp macro="" textlink="">
        <xdr:nvSpPr>
          <xdr:cNvPr id="32" name="Redondear rectángulo de esquina del mismo lado 3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 rot="5400000">
            <a:off x="378654" y="474787"/>
            <a:ext cx="256152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3.</a:t>
            </a:r>
            <a:r>
              <a:rPr lang="en-US" sz="1000" baseline="0">
                <a:solidFill>
                  <a:sysClr val="windowText" lastClr="000000"/>
                </a:solidFill>
              </a:rPr>
              <a:t> Job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3" name="Redondear rectángulo de esquina del mismo lado 3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 rot="5400000">
            <a:off x="378655" y="71862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4.</a:t>
            </a:r>
            <a:r>
              <a:rPr lang="en-US" sz="1000" baseline="0">
                <a:solidFill>
                  <a:sysClr val="windowText" lastClr="000000"/>
                </a:solidFill>
              </a:rPr>
              <a:t> Task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Redondear rectángulo de esquina del mismo lado 3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 rot="5400000">
            <a:off x="378655" y="96246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5. Agent</a:t>
            </a:r>
          </a:p>
        </xdr:txBody>
      </xdr:sp>
      <xdr:sp macro="" textlink="">
        <xdr:nvSpPr>
          <xdr:cNvPr id="35" name="Redondear rectángulo de esquina del mismo lado 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 rot="5400000">
            <a:off x="378655" y="120630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sp macro="" textlink="">
        <xdr:nvSpPr>
          <xdr:cNvPr id="36" name="Redondear rectángulo de esquina del mismo lado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 rot="5400000">
            <a:off x="378655" y="14501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Emission</a:t>
            </a:r>
          </a:p>
        </xdr:txBody>
      </xdr:sp>
      <xdr:sp macro="" textlink="">
        <xdr:nvSpPr>
          <xdr:cNvPr id="37" name="Redondear rectángulo de esquina del mismo lado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 rot="5400000">
            <a:off x="378655" y="16939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Deposition</a:t>
            </a:r>
          </a:p>
        </xdr:txBody>
      </xdr:sp>
      <xdr:sp macro="" textlink="">
        <xdr:nvSpPr>
          <xdr:cNvPr id="38" name="Redondear rectángulo de esquina del mismo lado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 rot="5400000">
            <a:off x="378655" y="193782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Transfer</a:t>
            </a:r>
          </a:p>
        </xdr:txBody>
      </xdr:sp>
      <xdr:sp macro="" textlink="">
        <xdr:nvSpPr>
          <xdr:cNvPr id="39" name="Redondear rectángulo de esquina del mismo lado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 rot="5400000">
            <a:off x="378655" y="2181669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Gloves</a:t>
            </a:r>
          </a:p>
        </xdr:txBody>
      </xdr:sp>
      <xdr:sp macro="" textlink="">
        <xdr:nvSpPr>
          <xdr:cNvPr id="40" name="Redondear rectángulo de esquina del mismo lado 3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 rot="5400000">
            <a:off x="378655" y="242550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Clothes</a:t>
            </a:r>
          </a:p>
        </xdr:txBody>
      </xdr:sp>
      <xdr:sp macro="" textlink="">
        <xdr:nvSpPr>
          <xdr:cNvPr id="41" name="Redondear rectángulo de esquina del mismo lado 4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5400000">
            <a:off x="378655" y="2309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2.</a:t>
            </a:r>
            <a:r>
              <a:rPr lang="en-US" sz="1000" baseline="0">
                <a:solidFill>
                  <a:sysClr val="windowText" lastClr="000000"/>
                </a:solidFill>
              </a:rPr>
              <a:t> Department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2" name="Redondear rectángulo de esquina del mismo lado 4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 rot="5400000">
            <a:off x="378655" y="2684588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Results</a:t>
            </a:r>
          </a:p>
        </xdr:txBody>
      </xdr:sp>
    </xdr:grpSp>
    <xdr:clientData/>
  </xdr:twoCellAnchor>
  <xdr:twoCellAnchor>
    <xdr:from>
      <xdr:col>3</xdr:col>
      <xdr:colOff>514350</xdr:colOff>
      <xdr:row>15</xdr:row>
      <xdr:rowOff>66675</xdr:rowOff>
    </xdr:from>
    <xdr:to>
      <xdr:col>4</xdr:col>
      <xdr:colOff>363776</xdr:colOff>
      <xdr:row>16</xdr:row>
      <xdr:rowOff>56007</xdr:rowOff>
    </xdr:to>
    <xdr:sp macro="" textlink="">
      <xdr:nvSpPr>
        <xdr:cNvPr id="3" name="Flecha: a la derecha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43575" y="3381375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1371600</xdr:colOff>
      <xdr:row>15</xdr:row>
      <xdr:rowOff>66675</xdr:rowOff>
    </xdr:from>
    <xdr:to>
      <xdr:col>1</xdr:col>
      <xdr:colOff>430451</xdr:colOff>
      <xdr:row>16</xdr:row>
      <xdr:rowOff>56007</xdr:rowOff>
    </xdr:to>
    <xdr:sp macro="" textlink="">
      <xdr:nvSpPr>
        <xdr:cNvPr id="17" name="Flecha: a la derecha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flipH="1">
          <a:off x="1371600" y="3381375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1405890</xdr:colOff>
      <xdr:row>7</xdr:row>
      <xdr:rowOff>167640</xdr:rowOff>
    </xdr:from>
    <xdr:to>
      <xdr:col>1</xdr:col>
      <xdr:colOff>969645</xdr:colOff>
      <xdr:row>8</xdr:row>
      <xdr:rowOff>146684</xdr:rowOff>
    </xdr:to>
    <xdr:sp macro="[0]!CleanEmp.CleanEmp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405890" y="1577340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/>
            <a:t>Clear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4</xdr:row>
          <xdr:rowOff>251460</xdr:rowOff>
        </xdr:from>
        <xdr:to>
          <xdr:col>3</xdr:col>
          <xdr:colOff>1699260</xdr:colOff>
          <xdr:row>5</xdr:row>
          <xdr:rowOff>38100</xdr:rowOff>
        </xdr:to>
        <xdr:sp macro="" textlink="">
          <xdr:nvSpPr>
            <xdr:cNvPr id="28674" name="B_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2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cleaning wet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5</xdr:row>
          <xdr:rowOff>22860</xdr:rowOff>
        </xdr:from>
        <xdr:to>
          <xdr:col>3</xdr:col>
          <xdr:colOff>1699260</xdr:colOff>
          <xdr:row>5</xdr:row>
          <xdr:rowOff>236220</xdr:rowOff>
        </xdr:to>
        <xdr:sp macro="" textlink="">
          <xdr:nvSpPr>
            <xdr:cNvPr id="28675" name="B_2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2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cleaning wet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5</xdr:row>
          <xdr:rowOff>220980</xdr:rowOff>
        </xdr:from>
        <xdr:to>
          <xdr:col>3</xdr:col>
          <xdr:colOff>1699260</xdr:colOff>
          <xdr:row>6</xdr:row>
          <xdr:rowOff>175260</xdr:rowOff>
        </xdr:to>
        <xdr:sp macro="" textlink="">
          <xdr:nvSpPr>
            <xdr:cNvPr id="28676" name="B_3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2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Cleaning dry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4</xdr:row>
          <xdr:rowOff>137160</xdr:rowOff>
        </xdr:from>
        <xdr:to>
          <xdr:col>3</xdr:col>
          <xdr:colOff>2080260</xdr:colOff>
          <xdr:row>6</xdr:row>
          <xdr:rowOff>213360</xdr:rowOff>
        </xdr:to>
        <xdr:sp macro="" textlink="">
          <xdr:nvSpPr>
            <xdr:cNvPr id="28677" name="Group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2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8</xdr:row>
          <xdr:rowOff>0</xdr:rowOff>
        </xdr:from>
        <xdr:to>
          <xdr:col>3</xdr:col>
          <xdr:colOff>1699260</xdr:colOff>
          <xdr:row>8</xdr:row>
          <xdr:rowOff>220980</xdr:rowOff>
        </xdr:to>
        <xdr:sp macro="" textlink="">
          <xdr:nvSpPr>
            <xdr:cNvPr id="28679" name="B_4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2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cleaning wet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8</xdr:row>
          <xdr:rowOff>213360</xdr:rowOff>
        </xdr:from>
        <xdr:to>
          <xdr:col>3</xdr:col>
          <xdr:colOff>1699260</xdr:colOff>
          <xdr:row>9</xdr:row>
          <xdr:rowOff>38100</xdr:rowOff>
        </xdr:to>
        <xdr:sp macro="" textlink="">
          <xdr:nvSpPr>
            <xdr:cNvPr id="28680" name="B_5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2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cleaning wet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9</xdr:row>
          <xdr:rowOff>22860</xdr:rowOff>
        </xdr:from>
        <xdr:to>
          <xdr:col>3</xdr:col>
          <xdr:colOff>1699260</xdr:colOff>
          <xdr:row>9</xdr:row>
          <xdr:rowOff>259080</xdr:rowOff>
        </xdr:to>
        <xdr:sp macro="" textlink="">
          <xdr:nvSpPr>
            <xdr:cNvPr id="28681" name="B_6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2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Cleaning dry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106680</xdr:rowOff>
        </xdr:from>
        <xdr:to>
          <xdr:col>3</xdr:col>
          <xdr:colOff>2080260</xdr:colOff>
          <xdr:row>9</xdr:row>
          <xdr:rowOff>289560</xdr:rowOff>
        </xdr:to>
        <xdr:sp macro="" textlink="">
          <xdr:nvSpPr>
            <xdr:cNvPr id="28682" name="Group Box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2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EH_WT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10</xdr:row>
          <xdr:rowOff>228600</xdr:rowOff>
        </xdr:from>
        <xdr:to>
          <xdr:col>3</xdr:col>
          <xdr:colOff>1699260</xdr:colOff>
          <xdr:row>11</xdr:row>
          <xdr:rowOff>144780</xdr:rowOff>
        </xdr:to>
        <xdr:sp macro="" textlink="">
          <xdr:nvSpPr>
            <xdr:cNvPr id="28684" name="B_7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2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cleaning wet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11</xdr:row>
          <xdr:rowOff>137160</xdr:rowOff>
        </xdr:from>
        <xdr:to>
          <xdr:col>3</xdr:col>
          <xdr:colOff>1699260</xdr:colOff>
          <xdr:row>12</xdr:row>
          <xdr:rowOff>76200</xdr:rowOff>
        </xdr:to>
        <xdr:sp macro="" textlink="">
          <xdr:nvSpPr>
            <xdr:cNvPr id="28685" name="B_8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2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cleaning wet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12</xdr:row>
          <xdr:rowOff>60960</xdr:rowOff>
        </xdr:from>
        <xdr:to>
          <xdr:col>3</xdr:col>
          <xdr:colOff>1699260</xdr:colOff>
          <xdr:row>12</xdr:row>
          <xdr:rowOff>297180</xdr:rowOff>
        </xdr:to>
        <xdr:sp macro="" textlink="">
          <xdr:nvSpPr>
            <xdr:cNvPr id="28686" name="B_9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2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Cleaning dry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10</xdr:row>
          <xdr:rowOff>106680</xdr:rowOff>
        </xdr:from>
        <xdr:to>
          <xdr:col>3</xdr:col>
          <xdr:colOff>2080260</xdr:colOff>
          <xdr:row>12</xdr:row>
          <xdr:rowOff>327660</xdr:rowOff>
        </xdr:to>
        <xdr:sp macro="" textlink="">
          <xdr:nvSpPr>
            <xdr:cNvPr id="28687" name="Group Box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2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13</xdr:row>
          <xdr:rowOff>213360</xdr:rowOff>
        </xdr:from>
        <xdr:to>
          <xdr:col>3</xdr:col>
          <xdr:colOff>1699260</xdr:colOff>
          <xdr:row>14</xdr:row>
          <xdr:rowOff>137160</xdr:rowOff>
        </xdr:to>
        <xdr:sp macro="" textlink="">
          <xdr:nvSpPr>
            <xdr:cNvPr id="28688" name="B_10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2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cleaning wet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14</xdr:row>
          <xdr:rowOff>121920</xdr:rowOff>
        </xdr:from>
        <xdr:to>
          <xdr:col>3</xdr:col>
          <xdr:colOff>1699260</xdr:colOff>
          <xdr:row>15</xdr:row>
          <xdr:rowOff>68580</xdr:rowOff>
        </xdr:to>
        <xdr:sp macro="" textlink="">
          <xdr:nvSpPr>
            <xdr:cNvPr id="28689" name="B_11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2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cleaning wet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15</xdr:row>
          <xdr:rowOff>60960</xdr:rowOff>
        </xdr:from>
        <xdr:to>
          <xdr:col>3</xdr:col>
          <xdr:colOff>1699260</xdr:colOff>
          <xdr:row>15</xdr:row>
          <xdr:rowOff>289560</xdr:rowOff>
        </xdr:to>
        <xdr:sp macro="" textlink="">
          <xdr:nvSpPr>
            <xdr:cNvPr id="28690" name="B_12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2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Cleaning dry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13</xdr:row>
          <xdr:rowOff>99060</xdr:rowOff>
        </xdr:from>
        <xdr:to>
          <xdr:col>3</xdr:col>
          <xdr:colOff>2080260</xdr:colOff>
          <xdr:row>15</xdr:row>
          <xdr:rowOff>327660</xdr:rowOff>
        </xdr:to>
        <xdr:sp macro="" textlink="">
          <xdr:nvSpPr>
            <xdr:cNvPr id="28691" name="Group Box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2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EH_TO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65650</xdr:rowOff>
    </xdr:to>
    <xdr:sp macro="" textlink="">
      <xdr:nvSpPr>
        <xdr:cNvPr id="58" name="Redondear rectángulo de esquina del mismo lad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378655" y="-527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Company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106681</xdr:rowOff>
    </xdr:from>
    <xdr:to>
      <xdr:col>0</xdr:col>
      <xdr:colOff>1013459</xdr:colOff>
      <xdr:row>4</xdr:row>
      <xdr:rowOff>362833</xdr:rowOff>
    </xdr:to>
    <xdr:sp macro="" textlink="">
      <xdr:nvSpPr>
        <xdr:cNvPr id="59" name="Redondear rectángulo de esquina del mismo lado 5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378654" y="48240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3. Job</a:t>
          </a:r>
        </a:p>
      </xdr:txBody>
    </xdr:sp>
    <xdr:clientData/>
  </xdr:twoCellAnchor>
  <xdr:twoCellAnchor>
    <xdr:from>
      <xdr:col>0</xdr:col>
      <xdr:colOff>0</xdr:colOff>
      <xdr:row>4</xdr:row>
      <xdr:rowOff>350520</xdr:rowOff>
    </xdr:from>
    <xdr:to>
      <xdr:col>0</xdr:col>
      <xdr:colOff>1013459</xdr:colOff>
      <xdr:row>5</xdr:row>
      <xdr:rowOff>172330</xdr:rowOff>
    </xdr:to>
    <xdr:sp macro="" textlink="">
      <xdr:nvSpPr>
        <xdr:cNvPr id="60" name="Redondear rectángulo de esquina del mismo lado 5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 rot="5400000">
          <a:off x="378655" y="72624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Task</a:t>
          </a:r>
        </a:p>
      </xdr:txBody>
    </xdr:sp>
    <xdr:clientData/>
  </xdr:twoCellAnchor>
  <xdr:twoCellAnchor>
    <xdr:from>
      <xdr:col>0</xdr:col>
      <xdr:colOff>0</xdr:colOff>
      <xdr:row>5</xdr:row>
      <xdr:rowOff>160022</xdr:rowOff>
    </xdr:from>
    <xdr:to>
      <xdr:col>0</xdr:col>
      <xdr:colOff>1013459</xdr:colOff>
      <xdr:row>6</xdr:row>
      <xdr:rowOff>141852</xdr:rowOff>
    </xdr:to>
    <xdr:sp macro="" textlink="">
      <xdr:nvSpPr>
        <xdr:cNvPr id="61" name="Redondear rectángulo de esquina del mismo lado 6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 rot="5400000">
          <a:off x="378655" y="9700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6</xdr:row>
      <xdr:rowOff>129540</xdr:rowOff>
    </xdr:from>
    <xdr:to>
      <xdr:col>0</xdr:col>
      <xdr:colOff>1013459</xdr:colOff>
      <xdr:row>7</xdr:row>
      <xdr:rowOff>88510</xdr:rowOff>
    </xdr:to>
    <xdr:sp macro="" textlink="">
      <xdr:nvSpPr>
        <xdr:cNvPr id="62" name="Redondear rectángulo de esquina del mismo lado 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 rot="5400000">
          <a:off x="378655" y="121392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Exposure</a:t>
          </a:r>
        </a:p>
      </xdr:txBody>
    </xdr:sp>
    <xdr:clientData/>
  </xdr:twoCellAnchor>
  <xdr:twoCellAnchor>
    <xdr:from>
      <xdr:col>0</xdr:col>
      <xdr:colOff>0</xdr:colOff>
      <xdr:row>7</xdr:row>
      <xdr:rowOff>76202</xdr:rowOff>
    </xdr:from>
    <xdr:to>
      <xdr:col>0</xdr:col>
      <xdr:colOff>1013459</xdr:colOff>
      <xdr:row>8</xdr:row>
      <xdr:rowOff>103752</xdr:rowOff>
    </xdr:to>
    <xdr:sp macro="" textlink="">
      <xdr:nvSpPr>
        <xdr:cNvPr id="63" name="Redondear rectángulo de esquina del mismo lado 6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 rot="5400000">
          <a:off x="378655" y="145776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Emission</a:t>
          </a:r>
        </a:p>
      </xdr:txBody>
    </xdr:sp>
    <xdr:clientData/>
  </xdr:twoCellAnchor>
  <xdr:twoCellAnchor>
    <xdr:from>
      <xdr:col>0</xdr:col>
      <xdr:colOff>0</xdr:colOff>
      <xdr:row>8</xdr:row>
      <xdr:rowOff>91440</xdr:rowOff>
    </xdr:from>
    <xdr:to>
      <xdr:col>0</xdr:col>
      <xdr:colOff>1013459</xdr:colOff>
      <xdr:row>8</xdr:row>
      <xdr:rowOff>347590</xdr:rowOff>
    </xdr:to>
    <xdr:sp macro="" textlink="">
      <xdr:nvSpPr>
        <xdr:cNvPr id="64" name="Redondear rectángulo de esquina del mismo lado 6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 rot="5400000">
          <a:off x="378655" y="17016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Deposition</a:t>
          </a:r>
        </a:p>
      </xdr:txBody>
    </xdr:sp>
    <xdr:clientData/>
  </xdr:twoCellAnchor>
  <xdr:twoCellAnchor>
    <xdr:from>
      <xdr:col>0</xdr:col>
      <xdr:colOff>0</xdr:colOff>
      <xdr:row>8</xdr:row>
      <xdr:rowOff>335282</xdr:rowOff>
    </xdr:from>
    <xdr:to>
      <xdr:col>0</xdr:col>
      <xdr:colOff>1013459</xdr:colOff>
      <xdr:row>9</xdr:row>
      <xdr:rowOff>210432</xdr:rowOff>
    </xdr:to>
    <xdr:sp macro="" textlink="">
      <xdr:nvSpPr>
        <xdr:cNvPr id="65" name="Redondear rectángulo de esquina del mismo lado 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 rot="5400000">
          <a:off x="378655" y="19454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</a:t>
          </a:r>
        </a:p>
      </xdr:txBody>
    </xdr:sp>
    <xdr:clientData/>
  </xdr:twoCellAnchor>
  <xdr:twoCellAnchor>
    <xdr:from>
      <xdr:col>0</xdr:col>
      <xdr:colOff>0</xdr:colOff>
      <xdr:row>9</xdr:row>
      <xdr:rowOff>198124</xdr:rowOff>
    </xdr:from>
    <xdr:to>
      <xdr:col>0</xdr:col>
      <xdr:colOff>1013459</xdr:colOff>
      <xdr:row>10</xdr:row>
      <xdr:rowOff>58034</xdr:rowOff>
    </xdr:to>
    <xdr:sp macro="" textlink="">
      <xdr:nvSpPr>
        <xdr:cNvPr id="66" name="Redondear rectángulo de esquina del mismo lado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 rot="5400000">
          <a:off x="378655" y="218928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Gloves</a:t>
          </a:r>
        </a:p>
      </xdr:txBody>
    </xdr:sp>
    <xdr:clientData/>
  </xdr:twoCellAnchor>
  <xdr:twoCellAnchor>
    <xdr:from>
      <xdr:col>0</xdr:col>
      <xdr:colOff>0</xdr:colOff>
      <xdr:row>10</xdr:row>
      <xdr:rowOff>45722</xdr:rowOff>
    </xdr:from>
    <xdr:to>
      <xdr:col>0</xdr:col>
      <xdr:colOff>1013459</xdr:colOff>
      <xdr:row>10</xdr:row>
      <xdr:rowOff>301872</xdr:rowOff>
    </xdr:to>
    <xdr:sp macro="" textlink="">
      <xdr:nvSpPr>
        <xdr:cNvPr id="67" name="Redondear rectángulo de esquina del mismo lado 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 rot="5400000">
          <a:off x="378655" y="24331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Clothes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53342</xdr:rowOff>
    </xdr:from>
    <xdr:to>
      <xdr:col>0</xdr:col>
      <xdr:colOff>1013459</xdr:colOff>
      <xdr:row>4</xdr:row>
      <xdr:rowOff>118992</xdr:rowOff>
    </xdr:to>
    <xdr:sp macro="" textlink="">
      <xdr:nvSpPr>
        <xdr:cNvPr id="68" name="Redondear rectángulo de esquina del mismo lado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 rot="5400000">
          <a:off x="378655" y="238567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2.</a:t>
          </a:r>
          <a:r>
            <a:rPr lang="en-US" sz="1000" baseline="0">
              <a:solidFill>
                <a:schemeClr val="bg1"/>
              </a:solidFill>
            </a:rPr>
            <a:t> Department</a:t>
          </a:r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11</xdr:row>
      <xdr:rowOff>3</xdr:rowOff>
    </xdr:from>
    <xdr:to>
      <xdr:col>0</xdr:col>
      <xdr:colOff>1013459</xdr:colOff>
      <xdr:row>11</xdr:row>
      <xdr:rowOff>256153</xdr:rowOff>
    </xdr:to>
    <xdr:sp macro="" textlink="">
      <xdr:nvSpPr>
        <xdr:cNvPr id="69" name="Redondear rectángulo de esquina del mismo lado 6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rot="5400000">
          <a:off x="378655" y="269220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2238375</xdr:colOff>
      <xdr:row>16</xdr:row>
      <xdr:rowOff>160591</xdr:rowOff>
    </xdr:from>
    <xdr:to>
      <xdr:col>3</xdr:col>
      <xdr:colOff>2678351</xdr:colOff>
      <xdr:row>16</xdr:row>
      <xdr:rowOff>378523</xdr:rowOff>
    </xdr:to>
    <xdr:sp macro="" textlink="">
      <xdr:nvSpPr>
        <xdr:cNvPr id="30" name="Flecha: a la derecha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6490335" y="4877371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57150</xdr:colOff>
      <xdr:row>16</xdr:row>
      <xdr:rowOff>160591</xdr:rowOff>
    </xdr:from>
    <xdr:to>
      <xdr:col>1</xdr:col>
      <xdr:colOff>497126</xdr:colOff>
      <xdr:row>16</xdr:row>
      <xdr:rowOff>378523</xdr:rowOff>
    </xdr:to>
    <xdr:sp macro="" textlink="">
      <xdr:nvSpPr>
        <xdr:cNvPr id="31" name="Flecha: a la derecha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 flipH="1">
          <a:off x="1474470" y="4877371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173296</xdr:colOff>
      <xdr:row>16</xdr:row>
      <xdr:rowOff>139065</xdr:rowOff>
    </xdr:from>
    <xdr:to>
      <xdr:col>2</xdr:col>
      <xdr:colOff>1154371</xdr:colOff>
      <xdr:row>17</xdr:row>
      <xdr:rowOff>11429</xdr:rowOff>
    </xdr:to>
    <xdr:sp macro="[0]!CleanDepart.CleanDepar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22136" y="4855845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190500</xdr:rowOff>
        </xdr:from>
        <xdr:to>
          <xdr:col>3</xdr:col>
          <xdr:colOff>1135380</xdr:colOff>
          <xdr:row>4</xdr:row>
          <xdr:rowOff>403860</xdr:rowOff>
        </xdr:to>
        <xdr:sp macro="" textlink="">
          <xdr:nvSpPr>
            <xdr:cNvPr id="9223" name="B_1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4</xdr:row>
          <xdr:rowOff>388620</xdr:rowOff>
        </xdr:from>
        <xdr:to>
          <xdr:col>3</xdr:col>
          <xdr:colOff>1143000</xdr:colOff>
          <xdr:row>4</xdr:row>
          <xdr:rowOff>609600</xdr:rowOff>
        </xdr:to>
        <xdr:sp macro="" textlink="">
          <xdr:nvSpPr>
            <xdr:cNvPr id="9224" name="B_2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60960</xdr:rowOff>
        </xdr:from>
        <xdr:to>
          <xdr:col>3</xdr:col>
          <xdr:colOff>1630680</xdr:colOff>
          <xdr:row>4</xdr:row>
          <xdr:rowOff>670560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5</xdr:row>
          <xdr:rowOff>251460</xdr:rowOff>
        </xdr:from>
        <xdr:to>
          <xdr:col>3</xdr:col>
          <xdr:colOff>1135380</xdr:colOff>
          <xdr:row>5</xdr:row>
          <xdr:rowOff>464820</xdr:rowOff>
        </xdr:to>
        <xdr:sp macro="" textlink="">
          <xdr:nvSpPr>
            <xdr:cNvPr id="9227" name="B_3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449580</xdr:rowOff>
        </xdr:from>
        <xdr:to>
          <xdr:col>3</xdr:col>
          <xdr:colOff>1143000</xdr:colOff>
          <xdr:row>5</xdr:row>
          <xdr:rowOff>670560</xdr:rowOff>
        </xdr:to>
        <xdr:sp macro="" textlink="">
          <xdr:nvSpPr>
            <xdr:cNvPr id="9228" name="B_4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5</xdr:row>
          <xdr:rowOff>121920</xdr:rowOff>
        </xdr:from>
        <xdr:to>
          <xdr:col>3</xdr:col>
          <xdr:colOff>1630680</xdr:colOff>
          <xdr:row>5</xdr:row>
          <xdr:rowOff>731520</xdr:rowOff>
        </xdr:to>
        <xdr:sp macro="" textlink="">
          <xdr:nvSpPr>
            <xdr:cNvPr id="9229" name="Group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3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6</xdr:row>
          <xdr:rowOff>213360</xdr:rowOff>
        </xdr:from>
        <xdr:to>
          <xdr:col>3</xdr:col>
          <xdr:colOff>1135380</xdr:colOff>
          <xdr:row>6</xdr:row>
          <xdr:rowOff>419100</xdr:rowOff>
        </xdr:to>
        <xdr:sp macro="" textlink="">
          <xdr:nvSpPr>
            <xdr:cNvPr id="9233" name="B_5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3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6</xdr:row>
          <xdr:rowOff>365760</xdr:rowOff>
        </xdr:from>
        <xdr:to>
          <xdr:col>3</xdr:col>
          <xdr:colOff>1135380</xdr:colOff>
          <xdr:row>6</xdr:row>
          <xdr:rowOff>594360</xdr:rowOff>
        </xdr:to>
        <xdr:sp macro="" textlink="">
          <xdr:nvSpPr>
            <xdr:cNvPr id="9234" name="B_6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3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76200</xdr:rowOff>
        </xdr:from>
        <xdr:to>
          <xdr:col>3</xdr:col>
          <xdr:colOff>1630680</xdr:colOff>
          <xdr:row>6</xdr:row>
          <xdr:rowOff>685800</xdr:rowOff>
        </xdr:to>
        <xdr:sp macro="" textlink="">
          <xdr:nvSpPr>
            <xdr:cNvPr id="9235" name="Group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3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251460</xdr:rowOff>
        </xdr:from>
        <xdr:to>
          <xdr:col>3</xdr:col>
          <xdr:colOff>1699260</xdr:colOff>
          <xdr:row>7</xdr:row>
          <xdr:rowOff>464820</xdr:rowOff>
        </xdr:to>
        <xdr:sp macro="" textlink="">
          <xdr:nvSpPr>
            <xdr:cNvPr id="9236" name="B_7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Hands not washed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403860</xdr:rowOff>
        </xdr:from>
        <xdr:to>
          <xdr:col>3</xdr:col>
          <xdr:colOff>2026920</xdr:colOff>
          <xdr:row>7</xdr:row>
          <xdr:rowOff>960120</xdr:rowOff>
        </xdr:to>
        <xdr:sp macro="" textlink="">
          <xdr:nvSpPr>
            <xdr:cNvPr id="9237" name="B_8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Washed 2-10 times per shift with water or 2-5 times with soap or solvents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868680</xdr:rowOff>
        </xdr:from>
        <xdr:to>
          <xdr:col>3</xdr:col>
          <xdr:colOff>2019300</xdr:colOff>
          <xdr:row>7</xdr:row>
          <xdr:rowOff>1318260</xdr:rowOff>
        </xdr:to>
        <xdr:sp macro="" textlink="">
          <xdr:nvSpPr>
            <xdr:cNvPr id="9238" name="B_9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Washed &gt;10 times per shift with water or &gt;5 times with soap or solvents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121920</xdr:rowOff>
        </xdr:from>
        <xdr:to>
          <xdr:col>3</xdr:col>
          <xdr:colOff>2316480</xdr:colOff>
          <xdr:row>7</xdr:row>
          <xdr:rowOff>1325880</xdr:rowOff>
        </xdr:to>
        <xdr:sp macro="" textlink="">
          <xdr:nvSpPr>
            <xdr:cNvPr id="9239" name="Group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8</xdr:row>
      <xdr:rowOff>147256</xdr:rowOff>
    </xdr:from>
    <xdr:to>
      <xdr:col>3</xdr:col>
      <xdr:colOff>2706926</xdr:colOff>
      <xdr:row>8</xdr:row>
      <xdr:rowOff>365188</xdr:rowOff>
    </xdr:to>
    <xdr:sp macro="" textlink="">
      <xdr:nvSpPr>
        <xdr:cNvPr id="27" name="Flecha: a la derecha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6518910" y="4551616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8</xdr:row>
      <xdr:rowOff>147256</xdr:rowOff>
    </xdr:from>
    <xdr:to>
      <xdr:col>1</xdr:col>
      <xdr:colOff>439976</xdr:colOff>
      <xdr:row>8</xdr:row>
      <xdr:rowOff>365188</xdr:rowOff>
    </xdr:to>
    <xdr:sp macro="" textlink="">
      <xdr:nvSpPr>
        <xdr:cNvPr id="28" name="Flecha: a la derecha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 flipH="1">
          <a:off x="1417320" y="4551616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137577</xdr:colOff>
      <xdr:row>8</xdr:row>
      <xdr:rowOff>125730</xdr:rowOff>
    </xdr:from>
    <xdr:to>
      <xdr:col>2</xdr:col>
      <xdr:colOff>1118652</xdr:colOff>
      <xdr:row>8</xdr:row>
      <xdr:rowOff>386714</xdr:rowOff>
    </xdr:to>
    <xdr:sp macro="[0]!CleanPuesto.CleanPuesto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2286417" y="4530090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35" name="Redondear rectángulo de esquina del mismo lado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Company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114301</xdr:rowOff>
    </xdr:from>
    <xdr:to>
      <xdr:col>0</xdr:col>
      <xdr:colOff>1013459</xdr:colOff>
      <xdr:row>4</xdr:row>
      <xdr:rowOff>370453</xdr:rowOff>
    </xdr:to>
    <xdr:sp macro="" textlink="">
      <xdr:nvSpPr>
        <xdr:cNvPr id="36" name="Redondear rectángulo de esquina del mismo lad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3. Job</a:t>
          </a:r>
        </a:p>
      </xdr:txBody>
    </xdr:sp>
    <xdr:clientData/>
  </xdr:twoCellAnchor>
  <xdr:twoCellAnchor>
    <xdr:from>
      <xdr:col>0</xdr:col>
      <xdr:colOff>0</xdr:colOff>
      <xdr:row>4</xdr:row>
      <xdr:rowOff>358140</xdr:rowOff>
    </xdr:from>
    <xdr:to>
      <xdr:col>0</xdr:col>
      <xdr:colOff>1013459</xdr:colOff>
      <xdr:row>4</xdr:row>
      <xdr:rowOff>614290</xdr:rowOff>
    </xdr:to>
    <xdr:sp macro="" textlink="">
      <xdr:nvSpPr>
        <xdr:cNvPr id="37" name="Redondear rectángulo de esquina del mismo lad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Task</a:t>
          </a:r>
        </a:p>
      </xdr:txBody>
    </xdr:sp>
    <xdr:clientData/>
  </xdr:twoCellAnchor>
  <xdr:twoCellAnchor>
    <xdr:from>
      <xdr:col>0</xdr:col>
      <xdr:colOff>0</xdr:colOff>
      <xdr:row>4</xdr:row>
      <xdr:rowOff>601982</xdr:rowOff>
    </xdr:from>
    <xdr:to>
      <xdr:col>0</xdr:col>
      <xdr:colOff>1013459</xdr:colOff>
      <xdr:row>5</xdr:row>
      <xdr:rowOff>141852</xdr:rowOff>
    </xdr:to>
    <xdr:sp macro="" textlink="">
      <xdr:nvSpPr>
        <xdr:cNvPr id="38" name="Redondear rectángulo de esquina del mismo lado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129540</xdr:rowOff>
    </xdr:from>
    <xdr:to>
      <xdr:col>0</xdr:col>
      <xdr:colOff>1013459</xdr:colOff>
      <xdr:row>5</xdr:row>
      <xdr:rowOff>385690</xdr:rowOff>
    </xdr:to>
    <xdr:sp macro="" textlink="">
      <xdr:nvSpPr>
        <xdr:cNvPr id="39" name="Redondear rectángulo de esquina del mismo lado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Exposure</a:t>
          </a:r>
        </a:p>
      </xdr:txBody>
    </xdr:sp>
    <xdr:clientData/>
  </xdr:twoCellAnchor>
  <xdr:twoCellAnchor>
    <xdr:from>
      <xdr:col>0</xdr:col>
      <xdr:colOff>0</xdr:colOff>
      <xdr:row>5</xdr:row>
      <xdr:rowOff>373382</xdr:rowOff>
    </xdr:from>
    <xdr:to>
      <xdr:col>0</xdr:col>
      <xdr:colOff>1013459</xdr:colOff>
      <xdr:row>5</xdr:row>
      <xdr:rowOff>629532</xdr:rowOff>
    </xdr:to>
    <xdr:sp macro="" textlink="">
      <xdr:nvSpPr>
        <xdr:cNvPr id="40" name="Redondear rectángulo de esquina del mismo lado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Emission</a:t>
          </a:r>
        </a:p>
      </xdr:txBody>
    </xdr:sp>
    <xdr:clientData/>
  </xdr:twoCellAnchor>
  <xdr:twoCellAnchor>
    <xdr:from>
      <xdr:col>0</xdr:col>
      <xdr:colOff>0</xdr:colOff>
      <xdr:row>5</xdr:row>
      <xdr:rowOff>617220</xdr:rowOff>
    </xdr:from>
    <xdr:to>
      <xdr:col>0</xdr:col>
      <xdr:colOff>1013459</xdr:colOff>
      <xdr:row>6</xdr:row>
      <xdr:rowOff>73270</xdr:rowOff>
    </xdr:to>
    <xdr:sp macro="" textlink="">
      <xdr:nvSpPr>
        <xdr:cNvPr id="41" name="Redondear rectángulo de esquina del mismo lado 4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Deposition</a:t>
          </a:r>
        </a:p>
      </xdr:txBody>
    </xdr:sp>
    <xdr:clientData/>
  </xdr:twoCellAnchor>
  <xdr:twoCellAnchor>
    <xdr:from>
      <xdr:col>0</xdr:col>
      <xdr:colOff>0</xdr:colOff>
      <xdr:row>6</xdr:row>
      <xdr:rowOff>60962</xdr:rowOff>
    </xdr:from>
    <xdr:to>
      <xdr:col>0</xdr:col>
      <xdr:colOff>1013459</xdr:colOff>
      <xdr:row>6</xdr:row>
      <xdr:rowOff>317112</xdr:rowOff>
    </xdr:to>
    <xdr:sp macro="" textlink="">
      <xdr:nvSpPr>
        <xdr:cNvPr id="42" name="Redondear rectángulo de esquina del mismo lado 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</a:t>
          </a:r>
        </a:p>
      </xdr:txBody>
    </xdr:sp>
    <xdr:clientData/>
  </xdr:twoCellAnchor>
  <xdr:twoCellAnchor>
    <xdr:from>
      <xdr:col>0</xdr:col>
      <xdr:colOff>0</xdr:colOff>
      <xdr:row>6</xdr:row>
      <xdr:rowOff>304804</xdr:rowOff>
    </xdr:from>
    <xdr:to>
      <xdr:col>0</xdr:col>
      <xdr:colOff>1013459</xdr:colOff>
      <xdr:row>6</xdr:row>
      <xdr:rowOff>560954</xdr:rowOff>
    </xdr:to>
    <xdr:sp macro="" textlink="">
      <xdr:nvSpPr>
        <xdr:cNvPr id="43" name="Redondear rectángulo de esquina del mismo lado 4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Gloves</a:t>
          </a:r>
        </a:p>
      </xdr:txBody>
    </xdr:sp>
    <xdr:clientData/>
  </xdr:twoCellAnchor>
  <xdr:twoCellAnchor>
    <xdr:from>
      <xdr:col>0</xdr:col>
      <xdr:colOff>0</xdr:colOff>
      <xdr:row>6</xdr:row>
      <xdr:rowOff>548642</xdr:rowOff>
    </xdr:from>
    <xdr:to>
      <xdr:col>0</xdr:col>
      <xdr:colOff>1013459</xdr:colOff>
      <xdr:row>7</xdr:row>
      <xdr:rowOff>50412</xdr:rowOff>
    </xdr:to>
    <xdr:sp macro="" textlink="">
      <xdr:nvSpPr>
        <xdr:cNvPr id="44" name="Redondear rectángulo de esquina del mismo lad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Clothes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126612</xdr:rowOff>
    </xdr:to>
    <xdr:sp macro="" textlink="">
      <xdr:nvSpPr>
        <xdr:cNvPr id="45" name="Redondear rectángulo de esquina del mismo lad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Department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53343</xdr:rowOff>
    </xdr:from>
    <xdr:to>
      <xdr:col>0</xdr:col>
      <xdr:colOff>1013459</xdr:colOff>
      <xdr:row>7</xdr:row>
      <xdr:rowOff>309493</xdr:rowOff>
    </xdr:to>
    <xdr:sp macro="" textlink="">
      <xdr:nvSpPr>
        <xdr:cNvPr id="46" name="Redondear rectángulo de esquina del mismo lado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0</xdr:rowOff>
        </xdr:from>
        <xdr:to>
          <xdr:col>3</xdr:col>
          <xdr:colOff>381000</xdr:colOff>
          <xdr:row>5</xdr:row>
          <xdr:rowOff>365760</xdr:rowOff>
        </xdr:to>
        <xdr:sp macro="" textlink="">
          <xdr:nvSpPr>
            <xdr:cNvPr id="35841" name="B_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365760</xdr:colOff>
      <xdr:row>4</xdr:row>
      <xdr:rowOff>222885</xdr:rowOff>
    </xdr:from>
    <xdr:to>
      <xdr:col>3</xdr:col>
      <xdr:colOff>1744980</xdr:colOff>
      <xdr:row>6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509135" y="984885"/>
          <a:ext cx="1379220" cy="66294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>
              <a:latin typeface="+mn-lt"/>
              <a:cs typeface="Arial" panose="020B0604020202020204" pitchFamily="34" charset="0"/>
            </a:rPr>
            <a:t>≤ 10 min</a:t>
          </a:r>
          <a:r>
            <a:rPr lang="en-US" sz="900" b="0" baseline="0">
              <a:latin typeface="+mn-lt"/>
              <a:cs typeface="Arial" panose="020B0604020202020204" pitchFamily="34" charset="0"/>
            </a:rPr>
            <a:t> per day or</a:t>
          </a:r>
          <a:endParaRPr lang="en-US" sz="900" b="0">
            <a:latin typeface="+mn-lt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1</a:t>
          </a:r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hour per week or</a:t>
          </a:r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4 hours per month</a:t>
          </a:r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or</a:t>
          </a:r>
          <a:endParaRPr lang="en-US" sz="900" b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40 hours per year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1000" b="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1859280</xdr:colOff>
      <xdr:row>5</xdr:row>
      <xdr:rowOff>78105</xdr:rowOff>
    </xdr:from>
    <xdr:ext cx="458908" cy="233205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002655" y="1144905"/>
          <a:ext cx="45890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(0,03)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190500</xdr:rowOff>
        </xdr:from>
        <xdr:to>
          <xdr:col>3</xdr:col>
          <xdr:colOff>381000</xdr:colOff>
          <xdr:row>6</xdr:row>
          <xdr:rowOff>533400</xdr:rowOff>
        </xdr:to>
        <xdr:sp macro="" textlink="">
          <xdr:nvSpPr>
            <xdr:cNvPr id="35842" name="B_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365760</xdr:colOff>
      <xdr:row>6</xdr:row>
      <xdr:rowOff>120014</xdr:rowOff>
    </xdr:from>
    <xdr:to>
      <xdr:col>3</xdr:col>
      <xdr:colOff>1813560</xdr:colOff>
      <xdr:row>6</xdr:row>
      <xdr:rowOff>857249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509135" y="1691639"/>
          <a:ext cx="1447800" cy="7372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n-lt"/>
              <a:cs typeface="Arial" panose="020B0604020202020204" pitchFamily="34" charset="0"/>
            </a:rPr>
            <a:t>&gt; 10-60 min per day or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1-4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hours per week or</a:t>
          </a:r>
          <a:endParaRPr lang="en-US" sz="90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4-16 hour per month or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40-160 hours per year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1859280</xdr:colOff>
      <xdr:row>6</xdr:row>
      <xdr:rowOff>264795</xdr:rowOff>
    </xdr:from>
    <xdr:ext cx="400431" cy="233205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002655" y="1836420"/>
          <a:ext cx="40043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(0,1)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6</xdr:row>
          <xdr:rowOff>937260</xdr:rowOff>
        </xdr:from>
        <xdr:to>
          <xdr:col>3</xdr:col>
          <xdr:colOff>381000</xdr:colOff>
          <xdr:row>7</xdr:row>
          <xdr:rowOff>0</xdr:rowOff>
        </xdr:to>
        <xdr:sp macro="" textlink="">
          <xdr:nvSpPr>
            <xdr:cNvPr id="35843" name="B_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358140</xdr:colOff>
      <xdr:row>6</xdr:row>
      <xdr:rowOff>824864</xdr:rowOff>
    </xdr:from>
    <xdr:to>
      <xdr:col>3</xdr:col>
      <xdr:colOff>2042160</xdr:colOff>
      <xdr:row>7</xdr:row>
      <xdr:rowOff>285749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501515" y="2396489"/>
          <a:ext cx="1684020" cy="6991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&gt; </a:t>
          </a:r>
          <a:r>
            <a:rPr lang="en-US" sz="900">
              <a:latin typeface="+mn-lt"/>
              <a:cs typeface="Arial" panose="020B0604020202020204" pitchFamily="34" charset="0"/>
            </a:rPr>
            <a:t>1-4</a:t>
          </a:r>
          <a:r>
            <a:rPr lang="en-US" sz="900" baseline="0">
              <a:latin typeface="+mn-lt"/>
              <a:cs typeface="Arial" panose="020B0604020202020204" pitchFamily="34" charset="0"/>
            </a:rPr>
            <a:t> hours per day or</a:t>
          </a:r>
          <a:endParaRPr lang="en-US" sz="900">
            <a:latin typeface="+mn-lt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4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-20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hour per week or</a:t>
          </a:r>
          <a:endParaRPr lang="en-US" sz="90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16-80 hours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per month or</a:t>
          </a:r>
          <a:endParaRPr lang="en-US" sz="90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160-800 hour per year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1851660</xdr:colOff>
      <xdr:row>6</xdr:row>
      <xdr:rowOff>969645</xdr:rowOff>
    </xdr:from>
    <xdr:ext cx="400431" cy="233205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995035" y="2541270"/>
          <a:ext cx="40043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(0,3)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7</xdr:row>
          <xdr:rowOff>381000</xdr:rowOff>
        </xdr:from>
        <xdr:to>
          <xdr:col>3</xdr:col>
          <xdr:colOff>350520</xdr:colOff>
          <xdr:row>7</xdr:row>
          <xdr:rowOff>746760</xdr:rowOff>
        </xdr:to>
        <xdr:sp macro="" textlink="">
          <xdr:nvSpPr>
            <xdr:cNvPr id="35844" name="B_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358140</xdr:colOff>
      <xdr:row>7</xdr:row>
      <xdr:rowOff>285750</xdr:rowOff>
    </xdr:from>
    <xdr:to>
      <xdr:col>3</xdr:col>
      <xdr:colOff>2042160</xdr:colOff>
      <xdr:row>7</xdr:row>
      <xdr:rowOff>969645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501515" y="3095625"/>
          <a:ext cx="1684020" cy="68389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&gt; </a:t>
          </a:r>
          <a:r>
            <a:rPr lang="en-US" sz="900">
              <a:latin typeface="+mn-lt"/>
              <a:cs typeface="Arial" panose="020B0604020202020204" pitchFamily="34" charset="0"/>
            </a:rPr>
            <a:t>4-8</a:t>
          </a:r>
          <a:r>
            <a:rPr lang="en-US" sz="900" baseline="0">
              <a:latin typeface="+mn-lt"/>
              <a:cs typeface="Arial" panose="020B0604020202020204" pitchFamily="34" charset="0"/>
            </a:rPr>
            <a:t> hour per day or</a:t>
          </a:r>
          <a:endParaRPr lang="en-US" sz="900">
            <a:latin typeface="+mn-lt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20-40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hours per week or</a:t>
          </a:r>
          <a:endParaRPr lang="en-US" sz="90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80 hours per month or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800 hours per year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1889760</xdr:colOff>
      <xdr:row>7</xdr:row>
      <xdr:rowOff>466725</xdr:rowOff>
    </xdr:from>
    <xdr:ext cx="313163" cy="233205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033135" y="3276600"/>
          <a:ext cx="31316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(1)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4</xdr:row>
          <xdr:rowOff>83820</xdr:rowOff>
        </xdr:from>
        <xdr:to>
          <xdr:col>3</xdr:col>
          <xdr:colOff>2621280</xdr:colOff>
          <xdr:row>7</xdr:row>
          <xdr:rowOff>998220</xdr:rowOff>
        </xdr:to>
        <xdr:sp macro="" textlink="">
          <xdr:nvSpPr>
            <xdr:cNvPr id="35845" name="Group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RTD_CAT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8</xdr:row>
      <xdr:rowOff>163742</xdr:rowOff>
    </xdr:from>
    <xdr:to>
      <xdr:col>3</xdr:col>
      <xdr:colOff>2706926</xdr:colOff>
      <xdr:row>8</xdr:row>
      <xdr:rowOff>381674</xdr:rowOff>
    </xdr:to>
    <xdr:sp macro="" textlink="">
      <xdr:nvSpPr>
        <xdr:cNvPr id="28" name="Flecha: a la derecha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6522427" y="4032357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8</xdr:row>
      <xdr:rowOff>163742</xdr:rowOff>
    </xdr:from>
    <xdr:to>
      <xdr:col>1</xdr:col>
      <xdr:colOff>439976</xdr:colOff>
      <xdr:row>8</xdr:row>
      <xdr:rowOff>381674</xdr:rowOff>
    </xdr:to>
    <xdr:sp macro="" textlink="">
      <xdr:nvSpPr>
        <xdr:cNvPr id="29" name="Flecha: a la derecha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 flipH="1">
          <a:off x="1418492" y="4032357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136697</xdr:colOff>
      <xdr:row>8</xdr:row>
      <xdr:rowOff>141044</xdr:rowOff>
    </xdr:from>
    <xdr:to>
      <xdr:col>2</xdr:col>
      <xdr:colOff>1117772</xdr:colOff>
      <xdr:row>9</xdr:row>
      <xdr:rowOff>5788</xdr:rowOff>
    </xdr:to>
    <xdr:sp macro="[0]!CleanTarea.CleanTarea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287882" y="4009659"/>
          <a:ext cx="981075" cy="263329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</a:t>
          </a:r>
          <a:r>
            <a:rPr lang="es-ES" sz="1000" baseline="0"/>
            <a:t> data</a:t>
          </a:r>
          <a:endParaRPr lang="es-ES" sz="10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19" name="Redondear rectángulo de esquina del mismo lad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Company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114301</xdr:rowOff>
    </xdr:from>
    <xdr:to>
      <xdr:col>0</xdr:col>
      <xdr:colOff>1013459</xdr:colOff>
      <xdr:row>5</xdr:row>
      <xdr:rowOff>65653</xdr:rowOff>
    </xdr:to>
    <xdr:sp macro="" textlink="">
      <xdr:nvSpPr>
        <xdr:cNvPr id="20" name="Redondear rectángulo de esquina del mismo lad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3. Job</a:t>
          </a:r>
        </a:p>
      </xdr:txBody>
    </xdr:sp>
    <xdr:clientData/>
  </xdr:twoCellAnchor>
  <xdr:twoCellAnchor>
    <xdr:from>
      <xdr:col>0</xdr:col>
      <xdr:colOff>0</xdr:colOff>
      <xdr:row>5</xdr:row>
      <xdr:rowOff>53340</xdr:rowOff>
    </xdr:from>
    <xdr:to>
      <xdr:col>0</xdr:col>
      <xdr:colOff>1013459</xdr:colOff>
      <xdr:row>5</xdr:row>
      <xdr:rowOff>309490</xdr:rowOff>
    </xdr:to>
    <xdr:sp macro="" textlink="">
      <xdr:nvSpPr>
        <xdr:cNvPr id="21" name="Redondear rectángulo de esquina del mismo lad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4. Task</a:t>
          </a:r>
        </a:p>
      </xdr:txBody>
    </xdr:sp>
    <xdr:clientData/>
  </xdr:twoCellAnchor>
  <xdr:twoCellAnchor>
    <xdr:from>
      <xdr:col>0</xdr:col>
      <xdr:colOff>0</xdr:colOff>
      <xdr:row>5</xdr:row>
      <xdr:rowOff>297182</xdr:rowOff>
    </xdr:from>
    <xdr:to>
      <xdr:col>0</xdr:col>
      <xdr:colOff>1013459</xdr:colOff>
      <xdr:row>6</xdr:row>
      <xdr:rowOff>42792</xdr:rowOff>
    </xdr:to>
    <xdr:sp macro="" textlink="">
      <xdr:nvSpPr>
        <xdr:cNvPr id="22" name="Redondear rectángulo de esquina del mismo l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6</xdr:row>
      <xdr:rowOff>30480</xdr:rowOff>
    </xdr:from>
    <xdr:to>
      <xdr:col>0</xdr:col>
      <xdr:colOff>1013459</xdr:colOff>
      <xdr:row>6</xdr:row>
      <xdr:rowOff>286630</xdr:rowOff>
    </xdr:to>
    <xdr:sp macro="" textlink="">
      <xdr:nvSpPr>
        <xdr:cNvPr id="23" name="Redondear rectángulo de esquina del mismo lad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Exposure</a:t>
          </a:r>
        </a:p>
      </xdr:txBody>
    </xdr:sp>
    <xdr:clientData/>
  </xdr:twoCellAnchor>
  <xdr:twoCellAnchor>
    <xdr:from>
      <xdr:col>0</xdr:col>
      <xdr:colOff>0</xdr:colOff>
      <xdr:row>6</xdr:row>
      <xdr:rowOff>274322</xdr:rowOff>
    </xdr:from>
    <xdr:to>
      <xdr:col>0</xdr:col>
      <xdr:colOff>1013459</xdr:colOff>
      <xdr:row>6</xdr:row>
      <xdr:rowOff>530472</xdr:rowOff>
    </xdr:to>
    <xdr:sp macro="" textlink="">
      <xdr:nvSpPr>
        <xdr:cNvPr id="24" name="Redondear rectángulo de esquina del mismo lad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Emission</a:t>
          </a:r>
        </a:p>
      </xdr:txBody>
    </xdr:sp>
    <xdr:clientData/>
  </xdr:twoCellAnchor>
  <xdr:twoCellAnchor>
    <xdr:from>
      <xdr:col>0</xdr:col>
      <xdr:colOff>0</xdr:colOff>
      <xdr:row>6</xdr:row>
      <xdr:rowOff>518160</xdr:rowOff>
    </xdr:from>
    <xdr:to>
      <xdr:col>0</xdr:col>
      <xdr:colOff>1013459</xdr:colOff>
      <xdr:row>6</xdr:row>
      <xdr:rowOff>774310</xdr:rowOff>
    </xdr:to>
    <xdr:sp macro="" textlink="">
      <xdr:nvSpPr>
        <xdr:cNvPr id="25" name="Redondear rectángulo de esquina del mismo lado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Deposition</a:t>
          </a:r>
        </a:p>
      </xdr:txBody>
    </xdr:sp>
    <xdr:clientData/>
  </xdr:twoCellAnchor>
  <xdr:twoCellAnchor>
    <xdr:from>
      <xdr:col>0</xdr:col>
      <xdr:colOff>0</xdr:colOff>
      <xdr:row>6</xdr:row>
      <xdr:rowOff>762002</xdr:rowOff>
    </xdr:from>
    <xdr:to>
      <xdr:col>0</xdr:col>
      <xdr:colOff>1013459</xdr:colOff>
      <xdr:row>6</xdr:row>
      <xdr:rowOff>1018152</xdr:rowOff>
    </xdr:to>
    <xdr:sp macro="" textlink="">
      <xdr:nvSpPr>
        <xdr:cNvPr id="26" name="Redondear rectángulo de esquina del mismo lad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</a:t>
          </a:r>
        </a:p>
      </xdr:txBody>
    </xdr:sp>
    <xdr:clientData/>
  </xdr:twoCellAnchor>
  <xdr:twoCellAnchor>
    <xdr:from>
      <xdr:col>0</xdr:col>
      <xdr:colOff>0</xdr:colOff>
      <xdr:row>6</xdr:row>
      <xdr:rowOff>1005844</xdr:rowOff>
    </xdr:from>
    <xdr:to>
      <xdr:col>0</xdr:col>
      <xdr:colOff>1013459</xdr:colOff>
      <xdr:row>7</xdr:row>
      <xdr:rowOff>19934</xdr:rowOff>
    </xdr:to>
    <xdr:sp macro="" textlink="">
      <xdr:nvSpPr>
        <xdr:cNvPr id="27" name="Redondear rectángulo de esquina del mismo lado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Gloves</a:t>
          </a:r>
        </a:p>
      </xdr:txBody>
    </xdr:sp>
    <xdr:clientData/>
  </xdr:twoCellAnchor>
  <xdr:twoCellAnchor>
    <xdr:from>
      <xdr:col>0</xdr:col>
      <xdr:colOff>0</xdr:colOff>
      <xdr:row>7</xdr:row>
      <xdr:rowOff>7622</xdr:rowOff>
    </xdr:from>
    <xdr:to>
      <xdr:col>0</xdr:col>
      <xdr:colOff>1013459</xdr:colOff>
      <xdr:row>7</xdr:row>
      <xdr:rowOff>263772</xdr:rowOff>
    </xdr:to>
    <xdr:sp macro="" textlink="">
      <xdr:nvSpPr>
        <xdr:cNvPr id="32" name="Redondear rectángulo de esquina del mismo lad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Clothes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126612</xdr:rowOff>
    </xdr:to>
    <xdr:sp macro="" textlink="">
      <xdr:nvSpPr>
        <xdr:cNvPr id="33" name="Redondear rectángulo de esquina del mismo lad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Department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266703</xdr:rowOff>
    </xdr:from>
    <xdr:to>
      <xdr:col>0</xdr:col>
      <xdr:colOff>1013459</xdr:colOff>
      <xdr:row>7</xdr:row>
      <xdr:rowOff>522853</xdr:rowOff>
    </xdr:to>
    <xdr:sp macro="" textlink="">
      <xdr:nvSpPr>
        <xdr:cNvPr id="34" name="Redondear rectángulo de esquina del mismo lad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</xdr:row>
          <xdr:rowOff>106680</xdr:rowOff>
        </xdr:from>
        <xdr:to>
          <xdr:col>3</xdr:col>
          <xdr:colOff>2217420</xdr:colOff>
          <xdr:row>6</xdr:row>
          <xdr:rowOff>99060</xdr:rowOff>
        </xdr:to>
        <xdr:sp macro="" textlink="">
          <xdr:nvSpPr>
            <xdr:cNvPr id="34817" name="B_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5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Pure (≥90% active ingredient)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</xdr:row>
          <xdr:rowOff>83820</xdr:rowOff>
        </xdr:from>
        <xdr:to>
          <xdr:col>3</xdr:col>
          <xdr:colOff>2278380</xdr:colOff>
          <xdr:row>6</xdr:row>
          <xdr:rowOff>289560</xdr:rowOff>
        </xdr:to>
        <xdr:sp macro="" textlink="">
          <xdr:nvSpPr>
            <xdr:cNvPr id="34818" name="B_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5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Mixture (1-90% active ingredient)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</xdr:row>
          <xdr:rowOff>7620</xdr:rowOff>
        </xdr:from>
        <xdr:to>
          <xdr:col>3</xdr:col>
          <xdr:colOff>2392680</xdr:colOff>
          <xdr:row>7</xdr:row>
          <xdr:rowOff>236220</xdr:rowOff>
        </xdr:to>
        <xdr:sp macro="" textlink="">
          <xdr:nvSpPr>
            <xdr:cNvPr id="34819" name="B_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5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Residue (&lt;1% active ingredient)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45720</xdr:rowOff>
        </xdr:from>
        <xdr:to>
          <xdr:col>3</xdr:col>
          <xdr:colOff>2590800</xdr:colOff>
          <xdr:row>7</xdr:row>
          <xdr:rowOff>259080</xdr:rowOff>
        </xdr:to>
        <xdr:sp macro="" textlink="">
          <xdr:nvSpPr>
            <xdr:cNvPr id="34820" name="Group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5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</xdr:row>
          <xdr:rowOff>175260</xdr:rowOff>
        </xdr:from>
        <xdr:to>
          <xdr:col>3</xdr:col>
          <xdr:colOff>1112520</xdr:colOff>
          <xdr:row>9</xdr:row>
          <xdr:rowOff>60960</xdr:rowOff>
        </xdr:to>
        <xdr:sp macro="" textlink="">
          <xdr:nvSpPr>
            <xdr:cNvPr id="34821" name="B_4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5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Solid [go to 5.1]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</xdr:row>
          <xdr:rowOff>76200</xdr:rowOff>
        </xdr:from>
        <xdr:to>
          <xdr:col>3</xdr:col>
          <xdr:colOff>1112520</xdr:colOff>
          <xdr:row>9</xdr:row>
          <xdr:rowOff>289560</xdr:rowOff>
        </xdr:to>
        <xdr:sp macro="" textlink="">
          <xdr:nvSpPr>
            <xdr:cNvPr id="34822" name="B_5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5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Liquid [go to 6.1]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</xdr:row>
          <xdr:rowOff>297180</xdr:rowOff>
        </xdr:from>
        <xdr:to>
          <xdr:col>3</xdr:col>
          <xdr:colOff>2286000</xdr:colOff>
          <xdr:row>10</xdr:row>
          <xdr:rowOff>228600</xdr:rowOff>
        </xdr:to>
        <xdr:sp macro="" textlink="">
          <xdr:nvSpPr>
            <xdr:cNvPr id="34823" name="B_6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5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Vapour-gaseous [go to next module]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8</xdr:row>
          <xdr:rowOff>60960</xdr:rowOff>
        </xdr:from>
        <xdr:to>
          <xdr:col>3</xdr:col>
          <xdr:colOff>2598420</xdr:colOff>
          <xdr:row>10</xdr:row>
          <xdr:rowOff>266700</xdr:rowOff>
        </xdr:to>
        <xdr:sp macro="" textlink="">
          <xdr:nvSpPr>
            <xdr:cNvPr id="34824" name="Group Box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5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11</xdr:row>
          <xdr:rowOff>175260</xdr:rowOff>
        </xdr:from>
        <xdr:to>
          <xdr:col>3</xdr:col>
          <xdr:colOff>1485900</xdr:colOff>
          <xdr:row>12</xdr:row>
          <xdr:rowOff>106680</xdr:rowOff>
        </xdr:to>
        <xdr:sp macro="" textlink="">
          <xdr:nvSpPr>
            <xdr:cNvPr id="34825" name="B_11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5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Powder/fine particles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12</xdr:row>
          <xdr:rowOff>121920</xdr:rowOff>
        </xdr:from>
        <xdr:to>
          <xdr:col>3</xdr:col>
          <xdr:colOff>2095500</xdr:colOff>
          <xdr:row>13</xdr:row>
          <xdr:rowOff>0</xdr:rowOff>
        </xdr:to>
        <xdr:sp macro="" textlink="">
          <xdr:nvSpPr>
            <xdr:cNvPr id="34826" name="B_12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5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Granules/grain/pellets/particles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13</xdr:row>
          <xdr:rowOff>7620</xdr:rowOff>
        </xdr:from>
        <xdr:to>
          <xdr:col>3</xdr:col>
          <xdr:colOff>2095500</xdr:colOff>
          <xdr:row>13</xdr:row>
          <xdr:rowOff>198120</xdr:rowOff>
        </xdr:to>
        <xdr:sp macro="" textlink="">
          <xdr:nvSpPr>
            <xdr:cNvPr id="34827" name="B_13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5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Pack/bunch/bundle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11</xdr:row>
          <xdr:rowOff>60960</xdr:rowOff>
        </xdr:from>
        <xdr:to>
          <xdr:col>3</xdr:col>
          <xdr:colOff>2613660</xdr:colOff>
          <xdr:row>13</xdr:row>
          <xdr:rowOff>259080</xdr:rowOff>
        </xdr:to>
        <xdr:sp macro="" textlink="">
          <xdr:nvSpPr>
            <xdr:cNvPr id="34828" name="Group Box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5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14</xdr:row>
          <xdr:rowOff>213360</xdr:rowOff>
        </xdr:from>
        <xdr:to>
          <xdr:col>3</xdr:col>
          <xdr:colOff>1165860</xdr:colOff>
          <xdr:row>15</xdr:row>
          <xdr:rowOff>0</xdr:rowOff>
        </xdr:to>
        <xdr:sp macro="" textlink="">
          <xdr:nvSpPr>
            <xdr:cNvPr id="34829" name="B_14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5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15</xdr:row>
          <xdr:rowOff>45720</xdr:rowOff>
        </xdr:from>
        <xdr:to>
          <xdr:col>3</xdr:col>
          <xdr:colOff>1165860</xdr:colOff>
          <xdr:row>15</xdr:row>
          <xdr:rowOff>251460</xdr:rowOff>
        </xdr:to>
        <xdr:sp macro="" textlink="">
          <xdr:nvSpPr>
            <xdr:cNvPr id="34830" name="B_15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5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60960</xdr:rowOff>
        </xdr:from>
        <xdr:to>
          <xdr:col>3</xdr:col>
          <xdr:colOff>2613660</xdr:colOff>
          <xdr:row>15</xdr:row>
          <xdr:rowOff>381000</xdr:rowOff>
        </xdr:to>
        <xdr:sp macro="" textlink="">
          <xdr:nvSpPr>
            <xdr:cNvPr id="34831" name="Group Box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5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16</xdr:row>
          <xdr:rowOff>228600</xdr:rowOff>
        </xdr:from>
        <xdr:to>
          <xdr:col>3</xdr:col>
          <xdr:colOff>1181100</xdr:colOff>
          <xdr:row>17</xdr:row>
          <xdr:rowOff>30480</xdr:rowOff>
        </xdr:to>
        <xdr:sp macro="" textlink="">
          <xdr:nvSpPr>
            <xdr:cNvPr id="34832" name="B_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5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17</xdr:row>
          <xdr:rowOff>76200</xdr:rowOff>
        </xdr:from>
        <xdr:to>
          <xdr:col>3</xdr:col>
          <xdr:colOff>1181100</xdr:colOff>
          <xdr:row>17</xdr:row>
          <xdr:rowOff>289560</xdr:rowOff>
        </xdr:to>
        <xdr:sp macro="" textlink="">
          <xdr:nvSpPr>
            <xdr:cNvPr id="34833" name="B_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5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(1.75)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16</xdr:row>
          <xdr:rowOff>106680</xdr:rowOff>
        </xdr:from>
        <xdr:to>
          <xdr:col>3</xdr:col>
          <xdr:colOff>2621280</xdr:colOff>
          <xdr:row>17</xdr:row>
          <xdr:rowOff>365760</xdr:rowOff>
        </xdr:to>
        <xdr:sp macro="" textlink="">
          <xdr:nvSpPr>
            <xdr:cNvPr id="34835" name="Group Box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5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18</xdr:row>
          <xdr:rowOff>220980</xdr:rowOff>
        </xdr:from>
        <xdr:to>
          <xdr:col>3</xdr:col>
          <xdr:colOff>1181100</xdr:colOff>
          <xdr:row>18</xdr:row>
          <xdr:rowOff>327660</xdr:rowOff>
        </xdr:to>
        <xdr:sp macro="" textlink="">
          <xdr:nvSpPr>
            <xdr:cNvPr id="34839" name="B_20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5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&lt;50 °C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18</xdr:row>
          <xdr:rowOff>342900</xdr:rowOff>
        </xdr:from>
        <xdr:to>
          <xdr:col>3</xdr:col>
          <xdr:colOff>1181100</xdr:colOff>
          <xdr:row>18</xdr:row>
          <xdr:rowOff>579120</xdr:rowOff>
        </xdr:to>
        <xdr:sp macro="" textlink="">
          <xdr:nvSpPr>
            <xdr:cNvPr id="34840" name="B_21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5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50-100 °C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18</xdr:row>
          <xdr:rowOff>601980</xdr:rowOff>
        </xdr:from>
        <xdr:to>
          <xdr:col>3</xdr:col>
          <xdr:colOff>1181100</xdr:colOff>
          <xdr:row>18</xdr:row>
          <xdr:rowOff>746760</xdr:rowOff>
        </xdr:to>
        <xdr:sp macro="" textlink="">
          <xdr:nvSpPr>
            <xdr:cNvPr id="34841" name="B_22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5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&gt;150 °C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18</xdr:row>
          <xdr:rowOff>76200</xdr:rowOff>
        </xdr:from>
        <xdr:to>
          <xdr:col>3</xdr:col>
          <xdr:colOff>2613660</xdr:colOff>
          <xdr:row>18</xdr:row>
          <xdr:rowOff>822960</xdr:rowOff>
        </xdr:to>
        <xdr:sp macro="" textlink="">
          <xdr:nvSpPr>
            <xdr:cNvPr id="34842" name="Group Box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5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19</xdr:row>
          <xdr:rowOff>175260</xdr:rowOff>
        </xdr:from>
        <xdr:to>
          <xdr:col>3</xdr:col>
          <xdr:colOff>1203960</xdr:colOff>
          <xdr:row>20</xdr:row>
          <xdr:rowOff>68580</xdr:rowOff>
        </xdr:to>
        <xdr:sp macro="" textlink="">
          <xdr:nvSpPr>
            <xdr:cNvPr id="34843" name="B_23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5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Low (like water)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20</xdr:row>
          <xdr:rowOff>60960</xdr:rowOff>
        </xdr:from>
        <xdr:to>
          <xdr:col>3</xdr:col>
          <xdr:colOff>1699260</xdr:colOff>
          <xdr:row>20</xdr:row>
          <xdr:rowOff>274320</xdr:rowOff>
        </xdr:to>
        <xdr:sp macro="" textlink="">
          <xdr:nvSpPr>
            <xdr:cNvPr id="34844" name="B_24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5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Medium (like oil) (1,75)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20</xdr:row>
          <xdr:rowOff>289560</xdr:rowOff>
        </xdr:from>
        <xdr:to>
          <xdr:col>3</xdr:col>
          <xdr:colOff>1699260</xdr:colOff>
          <xdr:row>21</xdr:row>
          <xdr:rowOff>175260</xdr:rowOff>
        </xdr:to>
        <xdr:sp macro="" textlink="">
          <xdr:nvSpPr>
            <xdr:cNvPr id="34845" name="B_25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5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High (like resin/paste)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19</xdr:row>
          <xdr:rowOff>60960</xdr:rowOff>
        </xdr:from>
        <xdr:to>
          <xdr:col>3</xdr:col>
          <xdr:colOff>2613660</xdr:colOff>
          <xdr:row>21</xdr:row>
          <xdr:rowOff>236220</xdr:rowOff>
        </xdr:to>
        <xdr:sp macro="" textlink="">
          <xdr:nvSpPr>
            <xdr:cNvPr id="34846" name="Group Box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5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2286000</xdr:colOff>
      <xdr:row>22</xdr:row>
      <xdr:rowOff>150114</xdr:rowOff>
    </xdr:from>
    <xdr:to>
      <xdr:col>4</xdr:col>
      <xdr:colOff>11351</xdr:colOff>
      <xdr:row>23</xdr:row>
      <xdr:rowOff>48006</xdr:rowOff>
    </xdr:to>
    <xdr:sp macro="" textlink="">
      <xdr:nvSpPr>
        <xdr:cNvPr id="62" name="Flecha: a la derecha 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6429375" y="7836789"/>
          <a:ext cx="439976" cy="21221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22</xdr:row>
      <xdr:rowOff>150114</xdr:rowOff>
    </xdr:from>
    <xdr:to>
      <xdr:col>1</xdr:col>
      <xdr:colOff>439976</xdr:colOff>
      <xdr:row>23</xdr:row>
      <xdr:rowOff>48006</xdr:rowOff>
    </xdr:to>
    <xdr:sp macro="" textlink="">
      <xdr:nvSpPr>
        <xdr:cNvPr id="63" name="Flecha: a la derecha 6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 flipH="1">
          <a:off x="1417320" y="7861554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158532</xdr:colOff>
      <xdr:row>22</xdr:row>
      <xdr:rowOff>128588</xdr:rowOff>
    </xdr:from>
    <xdr:to>
      <xdr:col>2</xdr:col>
      <xdr:colOff>1139607</xdr:colOff>
      <xdr:row>23</xdr:row>
      <xdr:rowOff>69532</xdr:rowOff>
    </xdr:to>
    <xdr:sp macro="[0]!CleanAgent.CleanAgent" textlink="">
      <xdr:nvSpPr>
        <xdr:cNvPr id="61" name="Rectángul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307372" y="7840028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</a:t>
          </a:r>
          <a:r>
            <a:rPr lang="es-ES" sz="1000" baseline="0"/>
            <a:t> data</a:t>
          </a:r>
          <a:endParaRPr lang="es-E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11</xdr:row>
          <xdr:rowOff>198120</xdr:rowOff>
        </xdr:from>
        <xdr:to>
          <xdr:col>3</xdr:col>
          <xdr:colOff>2423160</xdr:colOff>
          <xdr:row>12</xdr:row>
          <xdr:rowOff>76200</xdr:rowOff>
        </xdr:to>
        <xdr:sp macro="" textlink="">
          <xdr:nvSpPr>
            <xdr:cNvPr id="34849" name="B_26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5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14</xdr:row>
          <xdr:rowOff>220980</xdr:rowOff>
        </xdr:from>
        <xdr:to>
          <xdr:col>3</xdr:col>
          <xdr:colOff>2438400</xdr:colOff>
          <xdr:row>15</xdr:row>
          <xdr:rowOff>0</xdr:rowOff>
        </xdr:to>
        <xdr:sp macro="" textlink="">
          <xdr:nvSpPr>
            <xdr:cNvPr id="34850" name="B_27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5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16</xdr:row>
          <xdr:rowOff>236220</xdr:rowOff>
        </xdr:from>
        <xdr:to>
          <xdr:col>3</xdr:col>
          <xdr:colOff>2430780</xdr:colOff>
          <xdr:row>17</xdr:row>
          <xdr:rowOff>22860</xdr:rowOff>
        </xdr:to>
        <xdr:sp macro="" textlink="">
          <xdr:nvSpPr>
            <xdr:cNvPr id="34851" name="B_28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5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18</xdr:row>
          <xdr:rowOff>152400</xdr:rowOff>
        </xdr:from>
        <xdr:to>
          <xdr:col>3</xdr:col>
          <xdr:colOff>2438400</xdr:colOff>
          <xdr:row>18</xdr:row>
          <xdr:rowOff>365760</xdr:rowOff>
        </xdr:to>
        <xdr:sp macro="" textlink="">
          <xdr:nvSpPr>
            <xdr:cNvPr id="34852" name="B_29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5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1988820</xdr:colOff>
          <xdr:row>19</xdr:row>
          <xdr:rowOff>160020</xdr:rowOff>
        </xdr:from>
        <xdr:to>
          <xdr:col>3</xdr:col>
          <xdr:colOff>2438400</xdr:colOff>
          <xdr:row>20</xdr:row>
          <xdr:rowOff>60960</xdr:rowOff>
        </xdr:to>
        <xdr:sp macro="" textlink="">
          <xdr:nvSpPr>
            <xdr:cNvPr id="34853" name="B_30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5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4909</xdr:colOff>
      <xdr:row>2</xdr:row>
      <xdr:rowOff>3116</xdr:rowOff>
    </xdr:from>
    <xdr:to>
      <xdr:col>0</xdr:col>
      <xdr:colOff>1018368</xdr:colOff>
      <xdr:row>12</xdr:row>
      <xdr:rowOff>192594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GrpSpPr/>
      </xdr:nvGrpSpPr>
      <xdr:grpSpPr>
        <a:xfrm>
          <a:off x="6814" y="365066"/>
          <a:ext cx="1009649" cy="3008878"/>
          <a:chOff x="0" y="365760"/>
          <a:chExt cx="1013459" cy="2953633"/>
        </a:xfrm>
        <a:solidFill>
          <a:schemeClr val="accent3">
            <a:lumMod val="20000"/>
            <a:lumOff val="80000"/>
          </a:schemeClr>
        </a:solidFill>
      </xdr:grpSpPr>
      <xdr:sp macro="" textlink="">
        <xdr:nvSpPr>
          <xdr:cNvPr id="57" name="Redondear rectángulo de esquina del mismo lado 3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/>
        </xdr:nvSpPr>
        <xdr:spPr>
          <a:xfrm rot="5400000">
            <a:off x="378655" y="-12895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1.</a:t>
            </a:r>
            <a:r>
              <a:rPr lang="en-US" sz="1000" baseline="0">
                <a:solidFill>
                  <a:sysClr val="windowText" lastClr="000000"/>
                </a:solidFill>
              </a:rPr>
              <a:t> Company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8" name="Redondear rectángulo de esquina del mismo lado 3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SpPr/>
        </xdr:nvSpPr>
        <xdr:spPr>
          <a:xfrm rot="5400000">
            <a:off x="378654" y="474787"/>
            <a:ext cx="256152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3.</a:t>
            </a:r>
            <a:r>
              <a:rPr lang="en-US" sz="1000" baseline="0">
                <a:solidFill>
                  <a:sysClr val="windowText" lastClr="000000"/>
                </a:solidFill>
              </a:rPr>
              <a:t> Job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9" name="Redondear rectángulo de esquina del mismo lado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/>
        </xdr:nvSpPr>
        <xdr:spPr>
          <a:xfrm rot="5400000">
            <a:off x="378655" y="718625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4.</a:t>
            </a:r>
            <a:r>
              <a:rPr lang="en-US" sz="1000" baseline="0">
                <a:solidFill>
                  <a:sysClr val="windowText" lastClr="000000"/>
                </a:solidFill>
              </a:rPr>
              <a:t> Task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0" name="Redondear rectángulo de esquina del mismo lado 3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/>
        </xdr:nvSpPr>
        <xdr:spPr>
          <a:xfrm rot="5400000">
            <a:off x="378655" y="962467"/>
            <a:ext cx="256150" cy="1013459"/>
          </a:xfrm>
          <a:prstGeom prst="round2Same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chemeClr val="bg1"/>
                </a:solidFill>
              </a:rPr>
              <a:t>5. Agent</a:t>
            </a:r>
          </a:p>
        </xdr:txBody>
      </xdr:sp>
      <xdr:sp macro="" textlink="">
        <xdr:nvSpPr>
          <xdr:cNvPr id="64" name="Redondear rectángulo de esquina del mismo lado 3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>
          <a:xfrm rot="5400000">
            <a:off x="378655" y="1206305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sp macro="" textlink="">
        <xdr:nvSpPr>
          <xdr:cNvPr id="65" name="Redondear rectángulo de esquina del mismo lado 3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SpPr/>
        </xdr:nvSpPr>
        <xdr:spPr>
          <a:xfrm rot="5400000">
            <a:off x="378655" y="1450147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Emission</a:t>
            </a:r>
          </a:p>
        </xdr:txBody>
      </xdr:sp>
      <xdr:sp macro="" textlink="">
        <xdr:nvSpPr>
          <xdr:cNvPr id="66" name="Redondear rectángulo de esquina del mismo lado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SpPr/>
        </xdr:nvSpPr>
        <xdr:spPr>
          <a:xfrm rot="5400000">
            <a:off x="378655" y="1693985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Deposition</a:t>
            </a:r>
          </a:p>
        </xdr:txBody>
      </xdr:sp>
      <xdr:sp macro="" textlink="">
        <xdr:nvSpPr>
          <xdr:cNvPr id="67" name="Redondear rectángulo de esquina del mismo lado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/>
        </xdr:nvSpPr>
        <xdr:spPr>
          <a:xfrm rot="5400000">
            <a:off x="378655" y="1937827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Transfer</a:t>
            </a:r>
          </a:p>
        </xdr:txBody>
      </xdr:sp>
      <xdr:sp macro="" textlink="">
        <xdr:nvSpPr>
          <xdr:cNvPr id="68" name="Redondear rectángulo de esquina del mismo lado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SpPr/>
        </xdr:nvSpPr>
        <xdr:spPr>
          <a:xfrm rot="5400000">
            <a:off x="378655" y="2181669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Gloves</a:t>
            </a:r>
          </a:p>
        </xdr:txBody>
      </xdr:sp>
      <xdr:sp macro="" textlink="">
        <xdr:nvSpPr>
          <xdr:cNvPr id="69" name="Redondear rectángulo de esquina del mismo lado 3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SpPr/>
        </xdr:nvSpPr>
        <xdr:spPr>
          <a:xfrm rot="5400000">
            <a:off x="378655" y="2425507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Clothes</a:t>
            </a:r>
          </a:p>
        </xdr:txBody>
      </xdr:sp>
      <xdr:sp macro="" textlink="">
        <xdr:nvSpPr>
          <xdr:cNvPr id="70" name="Redondear rectángulo de esquina del mismo lado 4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 rot="5400000">
            <a:off x="378655" y="230947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2.</a:t>
            </a:r>
            <a:r>
              <a:rPr lang="en-US" sz="1000" baseline="0">
                <a:solidFill>
                  <a:sysClr val="windowText" lastClr="000000"/>
                </a:solidFill>
              </a:rPr>
              <a:t> Department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1" name="Redondear rectángulo de esquina del mismo lado 4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 rot="5400000">
            <a:off x="378655" y="2684588"/>
            <a:ext cx="256150" cy="1013459"/>
          </a:xfrm>
          <a:prstGeom prst="round2SameRect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Results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9</xdr:row>
          <xdr:rowOff>99060</xdr:rowOff>
        </xdr:from>
        <xdr:to>
          <xdr:col>4</xdr:col>
          <xdr:colOff>571500</xdr:colOff>
          <xdr:row>9</xdr:row>
          <xdr:rowOff>297180</xdr:rowOff>
        </xdr:to>
        <xdr:sp macro="" textlink="">
          <xdr:nvSpPr>
            <xdr:cNvPr id="11265" name="B_15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9</xdr:row>
          <xdr:rowOff>99060</xdr:rowOff>
        </xdr:from>
        <xdr:to>
          <xdr:col>4</xdr:col>
          <xdr:colOff>1036320</xdr:colOff>
          <xdr:row>9</xdr:row>
          <xdr:rowOff>289560</xdr:rowOff>
        </xdr:to>
        <xdr:sp macro="" textlink="">
          <xdr:nvSpPr>
            <xdr:cNvPr id="11266" name="B_16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9</xdr:row>
          <xdr:rowOff>30480</xdr:rowOff>
        </xdr:from>
        <xdr:to>
          <xdr:col>4</xdr:col>
          <xdr:colOff>1318260</xdr:colOff>
          <xdr:row>9</xdr:row>
          <xdr:rowOff>365760</xdr:rowOff>
        </xdr:to>
        <xdr:sp macro="" textlink="">
          <xdr:nvSpPr>
            <xdr:cNvPr id="11267" name="Group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121920</xdr:rowOff>
        </xdr:from>
        <xdr:to>
          <xdr:col>4</xdr:col>
          <xdr:colOff>571500</xdr:colOff>
          <xdr:row>10</xdr:row>
          <xdr:rowOff>327660</xdr:rowOff>
        </xdr:to>
        <xdr:sp macro="" textlink="">
          <xdr:nvSpPr>
            <xdr:cNvPr id="11268" name="B_17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10</xdr:row>
          <xdr:rowOff>106680</xdr:rowOff>
        </xdr:from>
        <xdr:to>
          <xdr:col>4</xdr:col>
          <xdr:colOff>1135380</xdr:colOff>
          <xdr:row>10</xdr:row>
          <xdr:rowOff>312420</xdr:rowOff>
        </xdr:to>
        <xdr:sp macro="" textlink="">
          <xdr:nvSpPr>
            <xdr:cNvPr id="11269" name="B_18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10</xdr:row>
          <xdr:rowOff>68580</xdr:rowOff>
        </xdr:from>
        <xdr:to>
          <xdr:col>4</xdr:col>
          <xdr:colOff>1303020</xdr:colOff>
          <xdr:row>10</xdr:row>
          <xdr:rowOff>327660</xdr:rowOff>
        </xdr:to>
        <xdr:sp macro="" textlink="">
          <xdr:nvSpPr>
            <xdr:cNvPr id="11270" name="Group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228600</xdr:rowOff>
        </xdr:from>
        <xdr:to>
          <xdr:col>4</xdr:col>
          <xdr:colOff>746760</xdr:colOff>
          <xdr:row>3</xdr:row>
          <xdr:rowOff>426720</xdr:rowOff>
        </xdr:to>
        <xdr:sp macro="" textlink="">
          <xdr:nvSpPr>
            <xdr:cNvPr id="11271" name="B_1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Unlikely (&lt;1% of task duration) [go to 2]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403860</xdr:rowOff>
        </xdr:from>
        <xdr:to>
          <xdr:col>4</xdr:col>
          <xdr:colOff>861060</xdr:colOff>
          <xdr:row>3</xdr:row>
          <xdr:rowOff>594360</xdr:rowOff>
        </xdr:to>
        <xdr:sp macro="" textlink="">
          <xdr:nvSpPr>
            <xdr:cNvPr id="11272" name="B_2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Occasionally (&lt;10% of task duration)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556260</xdr:rowOff>
        </xdr:from>
        <xdr:to>
          <xdr:col>4</xdr:col>
          <xdr:colOff>952500</xdr:colOff>
          <xdr:row>3</xdr:row>
          <xdr:rowOff>762000</xdr:rowOff>
        </xdr:to>
        <xdr:sp macro="" textlink="">
          <xdr:nvSpPr>
            <xdr:cNvPr id="11273" name="B_3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Repeatedly (10-50% of task duration)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731520</xdr:rowOff>
        </xdr:from>
        <xdr:to>
          <xdr:col>4</xdr:col>
          <xdr:colOff>1112520</xdr:colOff>
          <xdr:row>3</xdr:row>
          <xdr:rowOff>922020</xdr:rowOff>
        </xdr:to>
        <xdr:sp macro="" textlink="">
          <xdr:nvSpPr>
            <xdr:cNvPr id="11274" name="B_4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Almost constantly (≥50% of task duration)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60960</xdr:rowOff>
        </xdr:from>
        <xdr:to>
          <xdr:col>4</xdr:col>
          <xdr:colOff>1181100</xdr:colOff>
          <xdr:row>3</xdr:row>
          <xdr:rowOff>975360</xdr:rowOff>
        </xdr:to>
        <xdr:sp macro="" textlink="">
          <xdr:nvSpPr>
            <xdr:cNvPr id="11275" name="Group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P_E.HA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106680</xdr:rowOff>
        </xdr:from>
        <xdr:to>
          <xdr:col>4</xdr:col>
          <xdr:colOff>1188720</xdr:colOff>
          <xdr:row>4</xdr:row>
          <xdr:rowOff>868680</xdr:rowOff>
        </xdr:to>
        <xdr:sp macro="" textlink="">
          <xdr:nvSpPr>
            <xdr:cNvPr id="11281" name="Group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6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I_E.HA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5</xdr:row>
          <xdr:rowOff>99060</xdr:rowOff>
        </xdr:from>
        <xdr:to>
          <xdr:col>4</xdr:col>
          <xdr:colOff>1203960</xdr:colOff>
          <xdr:row>5</xdr:row>
          <xdr:rowOff>861060</xdr:rowOff>
        </xdr:to>
        <xdr:sp macro="" textlink="">
          <xdr:nvSpPr>
            <xdr:cNvPr id="11287" name="Group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6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P_E.BP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190500</xdr:rowOff>
        </xdr:from>
        <xdr:to>
          <xdr:col>4</xdr:col>
          <xdr:colOff>975360</xdr:colOff>
          <xdr:row>5</xdr:row>
          <xdr:rowOff>411480</xdr:rowOff>
        </xdr:to>
        <xdr:sp macro="" textlink="">
          <xdr:nvSpPr>
            <xdr:cNvPr id="11290" name="B_8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6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Unlikely (&lt;1% of task duration) [go to 3]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327660</xdr:rowOff>
        </xdr:from>
        <xdr:to>
          <xdr:col>4</xdr:col>
          <xdr:colOff>1089660</xdr:colOff>
          <xdr:row>5</xdr:row>
          <xdr:rowOff>556260</xdr:rowOff>
        </xdr:to>
        <xdr:sp macro="" textlink="">
          <xdr:nvSpPr>
            <xdr:cNvPr id="11291" name="B_9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6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Occasionally (&lt;10% of task duration)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480060</xdr:rowOff>
        </xdr:from>
        <xdr:to>
          <xdr:col>4</xdr:col>
          <xdr:colOff>914400</xdr:colOff>
          <xdr:row>5</xdr:row>
          <xdr:rowOff>708660</xdr:rowOff>
        </xdr:to>
        <xdr:sp macro="" textlink="">
          <xdr:nvSpPr>
            <xdr:cNvPr id="11292" name="B_10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Repeatedly (10-50% of task duration)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632460</xdr:rowOff>
        </xdr:from>
        <xdr:to>
          <xdr:col>4</xdr:col>
          <xdr:colOff>1143000</xdr:colOff>
          <xdr:row>5</xdr:row>
          <xdr:rowOff>861060</xdr:rowOff>
        </xdr:to>
        <xdr:sp macro="" textlink="">
          <xdr:nvSpPr>
            <xdr:cNvPr id="11293" name="B_11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6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Almost constantly (≥50% of task duration)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60960</xdr:rowOff>
        </xdr:from>
        <xdr:to>
          <xdr:col>4</xdr:col>
          <xdr:colOff>1219200</xdr:colOff>
          <xdr:row>6</xdr:row>
          <xdr:rowOff>822960</xdr:rowOff>
        </xdr:to>
        <xdr:sp macro="" textlink="">
          <xdr:nvSpPr>
            <xdr:cNvPr id="11294" name="Group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I_E.BP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68580</xdr:rowOff>
        </xdr:from>
        <xdr:to>
          <xdr:col>4</xdr:col>
          <xdr:colOff>1318260</xdr:colOff>
          <xdr:row>11</xdr:row>
          <xdr:rowOff>403860</xdr:rowOff>
        </xdr:to>
        <xdr:sp macro="" textlink="">
          <xdr:nvSpPr>
            <xdr:cNvPr id="11298" name="Group Box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6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12</xdr:row>
          <xdr:rowOff>45720</xdr:rowOff>
        </xdr:from>
        <xdr:to>
          <xdr:col>4</xdr:col>
          <xdr:colOff>1318260</xdr:colOff>
          <xdr:row>12</xdr:row>
          <xdr:rowOff>373380</xdr:rowOff>
        </xdr:to>
        <xdr:sp macro="" textlink="">
          <xdr:nvSpPr>
            <xdr:cNvPr id="11300" name="Group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6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13</xdr:row>
          <xdr:rowOff>60960</xdr:rowOff>
        </xdr:from>
        <xdr:to>
          <xdr:col>4</xdr:col>
          <xdr:colOff>1318260</xdr:colOff>
          <xdr:row>13</xdr:row>
          <xdr:rowOff>388620</xdr:rowOff>
        </xdr:to>
        <xdr:sp macro="" textlink="">
          <xdr:nvSpPr>
            <xdr:cNvPr id="11301" name="Group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6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14</xdr:row>
          <xdr:rowOff>68580</xdr:rowOff>
        </xdr:from>
        <xdr:to>
          <xdr:col>4</xdr:col>
          <xdr:colOff>1318260</xdr:colOff>
          <xdr:row>14</xdr:row>
          <xdr:rowOff>403860</xdr:rowOff>
        </xdr:to>
        <xdr:sp macro="" textlink="">
          <xdr:nvSpPr>
            <xdr:cNvPr id="11302" name="Group Box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6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15</xdr:row>
          <xdr:rowOff>76200</xdr:rowOff>
        </xdr:from>
        <xdr:to>
          <xdr:col>4</xdr:col>
          <xdr:colOff>1318260</xdr:colOff>
          <xdr:row>15</xdr:row>
          <xdr:rowOff>403860</xdr:rowOff>
        </xdr:to>
        <xdr:sp macro="" textlink="">
          <xdr:nvSpPr>
            <xdr:cNvPr id="11303" name="Group Box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6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137160</xdr:rowOff>
        </xdr:from>
        <xdr:to>
          <xdr:col>4</xdr:col>
          <xdr:colOff>708660</xdr:colOff>
          <xdr:row>11</xdr:row>
          <xdr:rowOff>365760</xdr:rowOff>
        </xdr:to>
        <xdr:sp macro="" textlink="">
          <xdr:nvSpPr>
            <xdr:cNvPr id="11311" name="B_19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6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830580</xdr:colOff>
          <xdr:row>11</xdr:row>
          <xdr:rowOff>137160</xdr:rowOff>
        </xdr:from>
        <xdr:to>
          <xdr:col>4</xdr:col>
          <xdr:colOff>1203960</xdr:colOff>
          <xdr:row>11</xdr:row>
          <xdr:rowOff>350520</xdr:rowOff>
        </xdr:to>
        <xdr:sp macro="" textlink="">
          <xdr:nvSpPr>
            <xdr:cNvPr id="11312" name="B_20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6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106680</xdr:rowOff>
        </xdr:from>
        <xdr:to>
          <xdr:col>4</xdr:col>
          <xdr:colOff>609600</xdr:colOff>
          <xdr:row>12</xdr:row>
          <xdr:rowOff>327660</xdr:rowOff>
        </xdr:to>
        <xdr:sp macro="" textlink="">
          <xdr:nvSpPr>
            <xdr:cNvPr id="11320" name="B_21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6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845820</xdr:colOff>
          <xdr:row>12</xdr:row>
          <xdr:rowOff>114300</xdr:rowOff>
        </xdr:from>
        <xdr:to>
          <xdr:col>4</xdr:col>
          <xdr:colOff>1089660</xdr:colOff>
          <xdr:row>12</xdr:row>
          <xdr:rowOff>327660</xdr:rowOff>
        </xdr:to>
        <xdr:sp macro="" textlink="">
          <xdr:nvSpPr>
            <xdr:cNvPr id="11322" name="B_22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6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13</xdr:row>
          <xdr:rowOff>137160</xdr:rowOff>
        </xdr:from>
        <xdr:to>
          <xdr:col>4</xdr:col>
          <xdr:colOff>655320</xdr:colOff>
          <xdr:row>13</xdr:row>
          <xdr:rowOff>350520</xdr:rowOff>
        </xdr:to>
        <xdr:sp macro="" textlink="">
          <xdr:nvSpPr>
            <xdr:cNvPr id="11323" name="B_23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6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845820</xdr:colOff>
          <xdr:row>13</xdr:row>
          <xdr:rowOff>137160</xdr:rowOff>
        </xdr:from>
        <xdr:to>
          <xdr:col>4</xdr:col>
          <xdr:colOff>1112520</xdr:colOff>
          <xdr:row>13</xdr:row>
          <xdr:rowOff>342900</xdr:rowOff>
        </xdr:to>
        <xdr:sp macro="" textlink="">
          <xdr:nvSpPr>
            <xdr:cNvPr id="11324" name="B_24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6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14</xdr:row>
          <xdr:rowOff>121920</xdr:rowOff>
        </xdr:from>
        <xdr:to>
          <xdr:col>4</xdr:col>
          <xdr:colOff>655320</xdr:colOff>
          <xdr:row>14</xdr:row>
          <xdr:rowOff>342900</xdr:rowOff>
        </xdr:to>
        <xdr:sp macro="" textlink="">
          <xdr:nvSpPr>
            <xdr:cNvPr id="11327" name="B_25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6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14</xdr:row>
          <xdr:rowOff>121920</xdr:rowOff>
        </xdr:from>
        <xdr:to>
          <xdr:col>4</xdr:col>
          <xdr:colOff>1173480</xdr:colOff>
          <xdr:row>14</xdr:row>
          <xdr:rowOff>342900</xdr:rowOff>
        </xdr:to>
        <xdr:sp macro="" textlink="">
          <xdr:nvSpPr>
            <xdr:cNvPr id="11328" name="B_26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6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15</xdr:row>
          <xdr:rowOff>137160</xdr:rowOff>
        </xdr:from>
        <xdr:to>
          <xdr:col>4</xdr:col>
          <xdr:colOff>678180</xdr:colOff>
          <xdr:row>15</xdr:row>
          <xdr:rowOff>350520</xdr:rowOff>
        </xdr:to>
        <xdr:sp macro="" textlink="">
          <xdr:nvSpPr>
            <xdr:cNvPr id="11329" name="B_27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6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15</xdr:row>
          <xdr:rowOff>137160</xdr:rowOff>
        </xdr:from>
        <xdr:to>
          <xdr:col>4</xdr:col>
          <xdr:colOff>1211580</xdr:colOff>
          <xdr:row>15</xdr:row>
          <xdr:rowOff>342900</xdr:rowOff>
        </xdr:to>
        <xdr:sp macro="" textlink="">
          <xdr:nvSpPr>
            <xdr:cNvPr id="11330" name="B_28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6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16</xdr:row>
          <xdr:rowOff>60960</xdr:rowOff>
        </xdr:from>
        <xdr:to>
          <xdr:col>4</xdr:col>
          <xdr:colOff>1318260</xdr:colOff>
          <xdr:row>16</xdr:row>
          <xdr:rowOff>381000</xdr:rowOff>
        </xdr:to>
        <xdr:sp macro="" textlink="">
          <xdr:nvSpPr>
            <xdr:cNvPr id="11381" name="Group Box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6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E_FE1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16</xdr:row>
          <xdr:rowOff>106680</xdr:rowOff>
        </xdr:from>
        <xdr:to>
          <xdr:col>4</xdr:col>
          <xdr:colOff>678180</xdr:colOff>
          <xdr:row>16</xdr:row>
          <xdr:rowOff>327660</xdr:rowOff>
        </xdr:to>
        <xdr:sp macro="" textlink="">
          <xdr:nvSpPr>
            <xdr:cNvPr id="11382" name="B_29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6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16</xdr:row>
          <xdr:rowOff>106680</xdr:rowOff>
        </xdr:from>
        <xdr:to>
          <xdr:col>4</xdr:col>
          <xdr:colOff>1211580</xdr:colOff>
          <xdr:row>16</xdr:row>
          <xdr:rowOff>327660</xdr:rowOff>
        </xdr:to>
        <xdr:sp macro="" textlink="">
          <xdr:nvSpPr>
            <xdr:cNvPr id="11383" name="B_30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00000000-0008-0000-0600-00007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933450</xdr:colOff>
      <xdr:row>17</xdr:row>
      <xdr:rowOff>169164</xdr:rowOff>
    </xdr:from>
    <xdr:to>
      <xdr:col>4</xdr:col>
      <xdr:colOff>1373426</xdr:colOff>
      <xdr:row>17</xdr:row>
      <xdr:rowOff>387096</xdr:rowOff>
    </xdr:to>
    <xdr:sp macro="" textlink="">
      <xdr:nvSpPr>
        <xdr:cNvPr id="61" name="Flecha: a la derecha 6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6457950" y="8467820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1</xdr:col>
      <xdr:colOff>0</xdr:colOff>
      <xdr:row>17</xdr:row>
      <xdr:rowOff>169164</xdr:rowOff>
    </xdr:from>
    <xdr:to>
      <xdr:col>1</xdr:col>
      <xdr:colOff>439976</xdr:colOff>
      <xdr:row>17</xdr:row>
      <xdr:rowOff>387096</xdr:rowOff>
    </xdr:to>
    <xdr:sp macro="" textlink="">
      <xdr:nvSpPr>
        <xdr:cNvPr id="62" name="Flecha: a la derecha 6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 flipH="1">
          <a:off x="1381125" y="8467820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MX"/>
        </a:p>
      </xdr:txBody>
    </xdr:sp>
    <xdr:clientData/>
  </xdr:twoCellAnchor>
  <xdr:twoCellAnchor>
    <xdr:from>
      <xdr:col>2</xdr:col>
      <xdr:colOff>145197</xdr:colOff>
      <xdr:row>17</xdr:row>
      <xdr:rowOff>144780</xdr:rowOff>
    </xdr:from>
    <xdr:to>
      <xdr:col>2</xdr:col>
      <xdr:colOff>1154847</xdr:colOff>
      <xdr:row>17</xdr:row>
      <xdr:rowOff>411480</xdr:rowOff>
    </xdr:to>
    <xdr:sp macro="[0]!CleanEmision.CleanEmisio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40697" y="8443436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236220</xdr:rowOff>
        </xdr:from>
        <xdr:to>
          <xdr:col>4</xdr:col>
          <xdr:colOff>1135380</xdr:colOff>
          <xdr:row>4</xdr:row>
          <xdr:rowOff>449580</xdr:rowOff>
        </xdr:to>
        <xdr:sp macro="" textlink="">
          <xdr:nvSpPr>
            <xdr:cNvPr id="11386" name="B_5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00000000-0008-0000-0600-00007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Small amount (&lt;10% of hands)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426720</xdr:rowOff>
        </xdr:from>
        <xdr:to>
          <xdr:col>4</xdr:col>
          <xdr:colOff>1112520</xdr:colOff>
          <xdr:row>4</xdr:row>
          <xdr:rowOff>609600</xdr:rowOff>
        </xdr:to>
        <xdr:sp macro="" textlink="">
          <xdr:nvSpPr>
            <xdr:cNvPr id="11388" name="B_6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6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Medium amount (10-50% of hands)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594360</xdr:rowOff>
        </xdr:from>
        <xdr:to>
          <xdr:col>4</xdr:col>
          <xdr:colOff>1028700</xdr:colOff>
          <xdr:row>4</xdr:row>
          <xdr:rowOff>807720</xdr:rowOff>
        </xdr:to>
        <xdr:sp macro="" textlink="">
          <xdr:nvSpPr>
            <xdr:cNvPr id="11389" name="B_7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6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Large amount (≥50% of hands (10)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0</xdr:col>
      <xdr:colOff>1013459</xdr:colOff>
      <xdr:row>5</xdr:row>
      <xdr:rowOff>675253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0" y="361950"/>
          <a:ext cx="1009649" cy="2949823"/>
          <a:chOff x="0" y="365760"/>
          <a:chExt cx="1013459" cy="2946013"/>
        </a:xfrm>
      </xdr:grpSpPr>
      <xdr:sp macro="" textlink="">
        <xdr:nvSpPr>
          <xdr:cNvPr id="68" name="Redondear rectángulo de esquina del mismo lado 6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64" name="Redondear rectángulo de esquina del mismo lado 6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Company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5" name="Redondear rectángulo de esquina del mismo lado 6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Job</a:t>
              </a:r>
            </a:p>
          </xdr:txBody>
        </xdr:sp>
        <xdr:sp macro="" textlink="">
          <xdr:nvSpPr>
            <xdr:cNvPr id="66" name="Redondear rectángulo de esquina del mismo lado 6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Task</a:t>
              </a:r>
            </a:p>
          </xdr:txBody>
        </xdr:sp>
        <xdr:sp macro="" textlink="">
          <xdr:nvSpPr>
            <xdr:cNvPr id="67" name="Redondear rectángulo de esquina del mismo lado 6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9" name="Redondear rectángulo de esquina del mismo lado 6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Emission</a:t>
              </a:r>
            </a:p>
          </xdr:txBody>
        </xdr:sp>
        <xdr:sp macro="" textlink="">
          <xdr:nvSpPr>
            <xdr:cNvPr id="70" name="Redondear rectángulo de esquina del mismo lado 6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Deposition</a:t>
              </a:r>
            </a:p>
          </xdr:txBody>
        </xdr:sp>
        <xdr:sp macro="" textlink="">
          <xdr:nvSpPr>
            <xdr:cNvPr id="71" name="Redondear rectángulo de esquina del mismo lado 7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</a:t>
              </a:r>
            </a:p>
          </xdr:txBody>
        </xdr:sp>
        <xdr:sp macro="" textlink="">
          <xdr:nvSpPr>
            <xdr:cNvPr id="72" name="Redondear rectángulo de esquina del mismo lado 7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Gloves</a:t>
              </a:r>
            </a:p>
          </xdr:txBody>
        </xdr:sp>
        <xdr:sp macro="" textlink="">
          <xdr:nvSpPr>
            <xdr:cNvPr id="73" name="Redondear rectángulo de esquina del mismo lado 7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Clothes</a:t>
              </a:r>
            </a:p>
          </xdr:txBody>
        </xdr:sp>
        <xdr:sp macro="" textlink="">
          <xdr:nvSpPr>
            <xdr:cNvPr id="74" name="Redondear rectángulo de esquina del mismo lado 7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Department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5" name="Redondear rectángulo de esquina del mismo lado 7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121920</xdr:rowOff>
        </xdr:from>
        <xdr:to>
          <xdr:col>4</xdr:col>
          <xdr:colOff>784860</xdr:colOff>
          <xdr:row>6</xdr:row>
          <xdr:rowOff>419100</xdr:rowOff>
        </xdr:to>
        <xdr:sp macro="" textlink="">
          <xdr:nvSpPr>
            <xdr:cNvPr id="11390" name="B_12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6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Small amount (&lt;10% of body part)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381000</xdr:rowOff>
        </xdr:from>
        <xdr:to>
          <xdr:col>4</xdr:col>
          <xdr:colOff>1036320</xdr:colOff>
          <xdr:row>6</xdr:row>
          <xdr:rowOff>571500</xdr:rowOff>
        </xdr:to>
        <xdr:sp macro="" textlink="">
          <xdr:nvSpPr>
            <xdr:cNvPr id="11391" name="B_13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00000000-0008-0000-0600-00007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Medium amount (10-50% of body part)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556260</xdr:rowOff>
        </xdr:from>
        <xdr:to>
          <xdr:col>4</xdr:col>
          <xdr:colOff>830580</xdr:colOff>
          <xdr:row>6</xdr:row>
          <xdr:rowOff>762000</xdr:rowOff>
        </xdr:to>
        <xdr:sp macro="" textlink="">
          <xdr:nvSpPr>
            <xdr:cNvPr id="11392" name="B_14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6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Large amount (≥50% of body part)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731520</xdr:colOff>
          <xdr:row>4</xdr:row>
          <xdr:rowOff>251460</xdr:rowOff>
        </xdr:from>
        <xdr:to>
          <xdr:col>4</xdr:col>
          <xdr:colOff>1135380</xdr:colOff>
          <xdr:row>4</xdr:row>
          <xdr:rowOff>441960</xdr:rowOff>
        </xdr:to>
        <xdr:sp macro="" textlink="">
          <xdr:nvSpPr>
            <xdr:cNvPr id="11393" name="B_31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00000000-0008-0000-0600-00008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6</xdr:row>
          <xdr:rowOff>175260</xdr:rowOff>
        </xdr:from>
        <xdr:to>
          <xdr:col>4</xdr:col>
          <xdr:colOff>1143000</xdr:colOff>
          <xdr:row>6</xdr:row>
          <xdr:rowOff>365760</xdr:rowOff>
        </xdr:to>
        <xdr:sp macro="" textlink="">
          <xdr:nvSpPr>
            <xdr:cNvPr id="11395" name="B_32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00000000-0008-0000-0600-00008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xdr:oneCellAnchor>
    <xdr:from>
      <xdr:col>4</xdr:col>
      <xdr:colOff>215564</xdr:colOff>
      <xdr:row>8</xdr:row>
      <xdr:rowOff>20053</xdr:rowOff>
    </xdr:from>
    <xdr:ext cx="474521" cy="1491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5750090" y="4662237"/>
          <a:ext cx="474521" cy="1491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050"/>
            <a:t>No/NA</a:t>
          </a:r>
        </a:p>
      </xdr:txBody>
    </xdr:sp>
    <xdr:clientData/>
  </xdr:oneCellAnchor>
  <xdr:oneCellAnchor>
    <xdr:from>
      <xdr:col>4</xdr:col>
      <xdr:colOff>777044</xdr:colOff>
      <xdr:row>8</xdr:row>
      <xdr:rowOff>20053</xdr:rowOff>
    </xdr:from>
    <xdr:ext cx="301065" cy="149186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311570" y="4662237"/>
          <a:ext cx="301065" cy="1491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050"/>
            <a:t>Yes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7</xdr:row>
          <xdr:rowOff>114300</xdr:rowOff>
        </xdr:from>
        <xdr:to>
          <xdr:col>4</xdr:col>
          <xdr:colOff>571500</xdr:colOff>
          <xdr:row>7</xdr:row>
          <xdr:rowOff>312420</xdr:rowOff>
        </xdr:to>
        <xdr:sp macro="" textlink="">
          <xdr:nvSpPr>
            <xdr:cNvPr id="51201" name="B_8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7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7</xdr:row>
          <xdr:rowOff>121920</xdr:rowOff>
        </xdr:from>
        <xdr:to>
          <xdr:col>4</xdr:col>
          <xdr:colOff>1036320</xdr:colOff>
          <xdr:row>7</xdr:row>
          <xdr:rowOff>312420</xdr:rowOff>
        </xdr:to>
        <xdr:sp macro="" textlink="">
          <xdr:nvSpPr>
            <xdr:cNvPr id="51202" name="B_9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7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30480</xdr:rowOff>
        </xdr:from>
        <xdr:to>
          <xdr:col>4</xdr:col>
          <xdr:colOff>1318260</xdr:colOff>
          <xdr:row>7</xdr:row>
          <xdr:rowOff>365760</xdr:rowOff>
        </xdr:to>
        <xdr:sp macro="" textlink="">
          <xdr:nvSpPr>
            <xdr:cNvPr id="51203" name="Group Box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7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121920</xdr:rowOff>
        </xdr:from>
        <xdr:to>
          <xdr:col>4</xdr:col>
          <xdr:colOff>571500</xdr:colOff>
          <xdr:row>8</xdr:row>
          <xdr:rowOff>327660</xdr:rowOff>
        </xdr:to>
        <xdr:sp macro="" textlink="">
          <xdr:nvSpPr>
            <xdr:cNvPr id="51204" name="B_10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7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822960</xdr:colOff>
          <xdr:row>8</xdr:row>
          <xdr:rowOff>106680</xdr:rowOff>
        </xdr:from>
        <xdr:to>
          <xdr:col>4</xdr:col>
          <xdr:colOff>1135380</xdr:colOff>
          <xdr:row>8</xdr:row>
          <xdr:rowOff>312420</xdr:rowOff>
        </xdr:to>
        <xdr:sp macro="" textlink="">
          <xdr:nvSpPr>
            <xdr:cNvPr id="51205" name="B_11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7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8</xdr:row>
          <xdr:rowOff>68580</xdr:rowOff>
        </xdr:from>
        <xdr:to>
          <xdr:col>4</xdr:col>
          <xdr:colOff>1303020</xdr:colOff>
          <xdr:row>8</xdr:row>
          <xdr:rowOff>327660</xdr:rowOff>
        </xdr:to>
        <xdr:sp macro="" textlink="">
          <xdr:nvSpPr>
            <xdr:cNvPr id="51206" name="Group Box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7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3</xdr:row>
          <xdr:rowOff>68580</xdr:rowOff>
        </xdr:from>
        <xdr:to>
          <xdr:col>4</xdr:col>
          <xdr:colOff>1165860</xdr:colOff>
          <xdr:row>3</xdr:row>
          <xdr:rowOff>899160</xdr:rowOff>
        </xdr:to>
        <xdr:sp macro="" textlink="">
          <xdr:nvSpPr>
            <xdr:cNvPr id="51216" name="Group Box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7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P_D.BP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</xdr:row>
          <xdr:rowOff>175260</xdr:rowOff>
        </xdr:from>
        <xdr:to>
          <xdr:col>4</xdr:col>
          <xdr:colOff>982980</xdr:colOff>
          <xdr:row>3</xdr:row>
          <xdr:rowOff>388620</xdr:rowOff>
        </xdr:to>
        <xdr:sp macro="" textlink="">
          <xdr:nvSpPr>
            <xdr:cNvPr id="51217" name="B_1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7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Unlikely (&lt;1% of task duration) [go to 2]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</xdr:row>
          <xdr:rowOff>335280</xdr:rowOff>
        </xdr:from>
        <xdr:to>
          <xdr:col>4</xdr:col>
          <xdr:colOff>830580</xdr:colOff>
          <xdr:row>3</xdr:row>
          <xdr:rowOff>556260</xdr:rowOff>
        </xdr:to>
        <xdr:sp macro="" textlink="">
          <xdr:nvSpPr>
            <xdr:cNvPr id="51218" name="B_2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7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Occasionally (&lt;10% of task duration)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</xdr:row>
          <xdr:rowOff>487680</xdr:rowOff>
        </xdr:from>
        <xdr:to>
          <xdr:col>4</xdr:col>
          <xdr:colOff>822960</xdr:colOff>
          <xdr:row>3</xdr:row>
          <xdr:rowOff>708660</xdr:rowOff>
        </xdr:to>
        <xdr:sp macro="" textlink="">
          <xdr:nvSpPr>
            <xdr:cNvPr id="51219" name="B_3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7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Repeatedly (10-50% of task duration)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</xdr:row>
          <xdr:rowOff>647700</xdr:rowOff>
        </xdr:from>
        <xdr:to>
          <xdr:col>4</xdr:col>
          <xdr:colOff>1112520</xdr:colOff>
          <xdr:row>3</xdr:row>
          <xdr:rowOff>868680</xdr:rowOff>
        </xdr:to>
        <xdr:sp macro="" textlink="">
          <xdr:nvSpPr>
            <xdr:cNvPr id="51220" name="B_4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7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Almost constantly (≥50% of task duration)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60960</xdr:rowOff>
        </xdr:from>
        <xdr:to>
          <xdr:col>4</xdr:col>
          <xdr:colOff>1173480</xdr:colOff>
          <xdr:row>4</xdr:row>
          <xdr:rowOff>822960</xdr:rowOff>
        </xdr:to>
        <xdr:sp macro="" textlink="">
          <xdr:nvSpPr>
            <xdr:cNvPr id="51221" name="Group Box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7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I_D.BP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9</xdr:row>
          <xdr:rowOff>68580</xdr:rowOff>
        </xdr:from>
        <xdr:to>
          <xdr:col>4</xdr:col>
          <xdr:colOff>1318260</xdr:colOff>
          <xdr:row>9</xdr:row>
          <xdr:rowOff>403860</xdr:rowOff>
        </xdr:to>
        <xdr:sp macro="" textlink="">
          <xdr:nvSpPr>
            <xdr:cNvPr id="51225" name="Group Box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7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10</xdr:row>
          <xdr:rowOff>45720</xdr:rowOff>
        </xdr:from>
        <xdr:to>
          <xdr:col>4</xdr:col>
          <xdr:colOff>1318260</xdr:colOff>
          <xdr:row>10</xdr:row>
          <xdr:rowOff>373380</xdr:rowOff>
        </xdr:to>
        <xdr:sp macro="" textlink="">
          <xdr:nvSpPr>
            <xdr:cNvPr id="51226" name="Group Box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7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D_HA1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45720</xdr:rowOff>
        </xdr:from>
        <xdr:to>
          <xdr:col>4</xdr:col>
          <xdr:colOff>1318260</xdr:colOff>
          <xdr:row>11</xdr:row>
          <xdr:rowOff>373380</xdr:rowOff>
        </xdr:to>
        <xdr:sp macro="" textlink="">
          <xdr:nvSpPr>
            <xdr:cNvPr id="51227" name="Group Box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7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12</xdr:row>
          <xdr:rowOff>60960</xdr:rowOff>
        </xdr:from>
        <xdr:to>
          <xdr:col>4</xdr:col>
          <xdr:colOff>1318260</xdr:colOff>
          <xdr:row>12</xdr:row>
          <xdr:rowOff>388620</xdr:rowOff>
        </xdr:to>
        <xdr:sp macro="" textlink="">
          <xdr:nvSpPr>
            <xdr:cNvPr id="51228" name="Group Box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7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13</xdr:row>
          <xdr:rowOff>68580</xdr:rowOff>
        </xdr:from>
        <xdr:to>
          <xdr:col>4</xdr:col>
          <xdr:colOff>1318260</xdr:colOff>
          <xdr:row>13</xdr:row>
          <xdr:rowOff>403860</xdr:rowOff>
        </xdr:to>
        <xdr:sp macro="" textlink="">
          <xdr:nvSpPr>
            <xdr:cNvPr id="51229" name="Group Box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7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14</xdr:row>
          <xdr:rowOff>76200</xdr:rowOff>
        </xdr:from>
        <xdr:to>
          <xdr:col>4</xdr:col>
          <xdr:colOff>1318260</xdr:colOff>
          <xdr:row>14</xdr:row>
          <xdr:rowOff>403860</xdr:rowOff>
        </xdr:to>
        <xdr:sp macro="" textlink="">
          <xdr:nvSpPr>
            <xdr:cNvPr id="51230" name="Group Box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7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137160</xdr:rowOff>
        </xdr:from>
        <xdr:to>
          <xdr:col>4</xdr:col>
          <xdr:colOff>708660</xdr:colOff>
          <xdr:row>9</xdr:row>
          <xdr:rowOff>365760</xdr:rowOff>
        </xdr:to>
        <xdr:sp macro="" textlink="">
          <xdr:nvSpPr>
            <xdr:cNvPr id="51231" name="B_12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7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830580</xdr:colOff>
          <xdr:row>9</xdr:row>
          <xdr:rowOff>137160</xdr:rowOff>
        </xdr:from>
        <xdr:to>
          <xdr:col>4</xdr:col>
          <xdr:colOff>1203960</xdr:colOff>
          <xdr:row>9</xdr:row>
          <xdr:rowOff>350520</xdr:rowOff>
        </xdr:to>
        <xdr:sp macro="" textlink="">
          <xdr:nvSpPr>
            <xdr:cNvPr id="51232" name="B_13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7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114300</xdr:rowOff>
        </xdr:from>
        <xdr:to>
          <xdr:col>4</xdr:col>
          <xdr:colOff>678180</xdr:colOff>
          <xdr:row>10</xdr:row>
          <xdr:rowOff>327660</xdr:rowOff>
        </xdr:to>
        <xdr:sp macro="" textlink="">
          <xdr:nvSpPr>
            <xdr:cNvPr id="51233" name="B_14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7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10</xdr:row>
          <xdr:rowOff>114300</xdr:rowOff>
        </xdr:from>
        <xdr:to>
          <xdr:col>4</xdr:col>
          <xdr:colOff>1203960</xdr:colOff>
          <xdr:row>10</xdr:row>
          <xdr:rowOff>335280</xdr:rowOff>
        </xdr:to>
        <xdr:sp macro="" textlink="">
          <xdr:nvSpPr>
            <xdr:cNvPr id="51234" name="B_15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7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106680</xdr:rowOff>
        </xdr:from>
        <xdr:to>
          <xdr:col>4</xdr:col>
          <xdr:colOff>609600</xdr:colOff>
          <xdr:row>11</xdr:row>
          <xdr:rowOff>327660</xdr:rowOff>
        </xdr:to>
        <xdr:sp macro="" textlink="">
          <xdr:nvSpPr>
            <xdr:cNvPr id="51235" name="B_16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7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845820</xdr:colOff>
          <xdr:row>11</xdr:row>
          <xdr:rowOff>114300</xdr:rowOff>
        </xdr:from>
        <xdr:to>
          <xdr:col>4</xdr:col>
          <xdr:colOff>1089660</xdr:colOff>
          <xdr:row>11</xdr:row>
          <xdr:rowOff>327660</xdr:rowOff>
        </xdr:to>
        <xdr:sp macro="" textlink="">
          <xdr:nvSpPr>
            <xdr:cNvPr id="51236" name="B_17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7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12</xdr:row>
          <xdr:rowOff>137160</xdr:rowOff>
        </xdr:from>
        <xdr:to>
          <xdr:col>4</xdr:col>
          <xdr:colOff>655320</xdr:colOff>
          <xdr:row>12</xdr:row>
          <xdr:rowOff>350520</xdr:rowOff>
        </xdr:to>
        <xdr:sp macro="" textlink="">
          <xdr:nvSpPr>
            <xdr:cNvPr id="51237" name="B_18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7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845820</xdr:colOff>
          <xdr:row>12</xdr:row>
          <xdr:rowOff>137160</xdr:rowOff>
        </xdr:from>
        <xdr:to>
          <xdr:col>4</xdr:col>
          <xdr:colOff>1112520</xdr:colOff>
          <xdr:row>12</xdr:row>
          <xdr:rowOff>342900</xdr:rowOff>
        </xdr:to>
        <xdr:sp macro="" textlink="">
          <xdr:nvSpPr>
            <xdr:cNvPr id="51238" name="B_19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7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121920</xdr:rowOff>
        </xdr:from>
        <xdr:to>
          <xdr:col>4</xdr:col>
          <xdr:colOff>655320</xdr:colOff>
          <xdr:row>13</xdr:row>
          <xdr:rowOff>342900</xdr:rowOff>
        </xdr:to>
        <xdr:sp macro="" textlink="">
          <xdr:nvSpPr>
            <xdr:cNvPr id="51239" name="B_20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7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13</xdr:row>
          <xdr:rowOff>121920</xdr:rowOff>
        </xdr:from>
        <xdr:to>
          <xdr:col>4</xdr:col>
          <xdr:colOff>1173480</xdr:colOff>
          <xdr:row>13</xdr:row>
          <xdr:rowOff>342900</xdr:rowOff>
        </xdr:to>
        <xdr:sp macro="" textlink="">
          <xdr:nvSpPr>
            <xdr:cNvPr id="51240" name="B_21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7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14</xdr:row>
          <xdr:rowOff>137160</xdr:rowOff>
        </xdr:from>
        <xdr:to>
          <xdr:col>4</xdr:col>
          <xdr:colOff>678180</xdr:colOff>
          <xdr:row>14</xdr:row>
          <xdr:rowOff>350520</xdr:rowOff>
        </xdr:to>
        <xdr:sp macro="" textlink="">
          <xdr:nvSpPr>
            <xdr:cNvPr id="51241" name="B_22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7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14</xdr:row>
          <xdr:rowOff>137160</xdr:rowOff>
        </xdr:from>
        <xdr:to>
          <xdr:col>4</xdr:col>
          <xdr:colOff>1211580</xdr:colOff>
          <xdr:row>14</xdr:row>
          <xdr:rowOff>342900</xdr:rowOff>
        </xdr:to>
        <xdr:sp macro="" textlink="">
          <xdr:nvSpPr>
            <xdr:cNvPr id="51242" name="B_23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7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15</xdr:row>
          <xdr:rowOff>60960</xdr:rowOff>
        </xdr:from>
        <xdr:to>
          <xdr:col>4</xdr:col>
          <xdr:colOff>1318260</xdr:colOff>
          <xdr:row>15</xdr:row>
          <xdr:rowOff>381000</xdr:rowOff>
        </xdr:to>
        <xdr:sp macro="" textlink="">
          <xdr:nvSpPr>
            <xdr:cNvPr id="51243" name="Group Box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7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D_FE1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15</xdr:row>
          <xdr:rowOff>106680</xdr:rowOff>
        </xdr:from>
        <xdr:to>
          <xdr:col>4</xdr:col>
          <xdr:colOff>678180</xdr:colOff>
          <xdr:row>15</xdr:row>
          <xdr:rowOff>327660</xdr:rowOff>
        </xdr:to>
        <xdr:sp macro="" textlink="">
          <xdr:nvSpPr>
            <xdr:cNvPr id="51244" name="B_2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7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861060</xdr:colOff>
          <xdr:row>15</xdr:row>
          <xdr:rowOff>106680</xdr:rowOff>
        </xdr:from>
        <xdr:to>
          <xdr:col>4</xdr:col>
          <xdr:colOff>1211580</xdr:colOff>
          <xdr:row>15</xdr:row>
          <xdr:rowOff>327660</xdr:rowOff>
        </xdr:to>
        <xdr:sp macro="" textlink="">
          <xdr:nvSpPr>
            <xdr:cNvPr id="51245" name="B_2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7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958850</xdr:colOff>
      <xdr:row>16</xdr:row>
      <xdr:rowOff>144534</xdr:rowOff>
    </xdr:from>
    <xdr:to>
      <xdr:col>4</xdr:col>
      <xdr:colOff>1377461</xdr:colOff>
      <xdr:row>17</xdr:row>
      <xdr:rowOff>67826</xdr:rowOff>
    </xdr:to>
    <xdr:sp macro="" textlink="">
      <xdr:nvSpPr>
        <xdr:cNvPr id="54" name="Flecha: a la derecha 5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6496050" y="6799334"/>
          <a:ext cx="418611" cy="20269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1384788</xdr:colOff>
      <xdr:row>16</xdr:row>
      <xdr:rowOff>144534</xdr:rowOff>
    </xdr:from>
    <xdr:to>
      <xdr:col>1</xdr:col>
      <xdr:colOff>439976</xdr:colOff>
      <xdr:row>17</xdr:row>
      <xdr:rowOff>67826</xdr:rowOff>
    </xdr:to>
    <xdr:sp macro="" textlink="">
      <xdr:nvSpPr>
        <xdr:cNvPr id="55" name="Flecha: a la derecha 5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 flipH="1">
          <a:off x="1384788" y="6790053"/>
          <a:ext cx="439976" cy="201715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147485</xdr:colOff>
      <xdr:row>16</xdr:row>
      <xdr:rowOff>122116</xdr:rowOff>
    </xdr:from>
    <xdr:to>
      <xdr:col>2</xdr:col>
      <xdr:colOff>1166660</xdr:colOff>
      <xdr:row>17</xdr:row>
      <xdr:rowOff>104898</xdr:rowOff>
    </xdr:to>
    <xdr:sp macro="[0]!CleanDepo.CleanDep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289552" y="6802316"/>
          <a:ext cx="1019175" cy="262182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8</xdr:row>
      <xdr:rowOff>179953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GrpSpPr/>
      </xdr:nvGrpSpPr>
      <xdr:grpSpPr>
        <a:xfrm>
          <a:off x="0" y="361950"/>
          <a:ext cx="1009649" cy="2940298"/>
          <a:chOff x="0" y="365760"/>
          <a:chExt cx="1013459" cy="2946013"/>
        </a:xfrm>
      </xdr:grpSpPr>
      <xdr:sp macro="" textlink="">
        <xdr:nvSpPr>
          <xdr:cNvPr id="119" name="Redondear rectángulo de esquina del mismo lado 11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grpSp>
        <xdr:nvGrpSpPr>
          <xdr:cNvPr id="120" name="Grupo 119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121" name="Redondear rectángulo de esquina del mismo lado 12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79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Company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22" name="Redondear rectángulo de esquina del mismo lado 12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7A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Job</a:t>
              </a:r>
            </a:p>
          </xdr:txBody>
        </xdr:sp>
        <xdr:sp macro="" textlink="">
          <xdr:nvSpPr>
            <xdr:cNvPr id="123" name="Redondear rectángulo de esquina del mismo lado 12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7B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Task</a:t>
              </a:r>
            </a:p>
          </xdr:txBody>
        </xdr:sp>
        <xdr:sp macro="" textlink="">
          <xdr:nvSpPr>
            <xdr:cNvPr id="124" name="Redondear rectángulo de esquina del mismo lado 12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7C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25" name="Redondear rectángulo de esquina del mismo lado 12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7D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Emission</a:t>
              </a:r>
            </a:p>
          </xdr:txBody>
        </xdr:sp>
        <xdr:sp macro="" textlink="">
          <xdr:nvSpPr>
            <xdr:cNvPr id="126" name="Redondear rectángulo de esquina del mismo lado 12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7E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Deposition</a:t>
              </a:r>
            </a:p>
          </xdr:txBody>
        </xdr:sp>
        <xdr:sp macro="" textlink="">
          <xdr:nvSpPr>
            <xdr:cNvPr id="127" name="Redondear rectángulo de esquina del mismo lado 12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7F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</a:t>
              </a:r>
            </a:p>
          </xdr:txBody>
        </xdr:sp>
        <xdr:sp macro="" textlink="">
          <xdr:nvSpPr>
            <xdr:cNvPr id="128" name="Redondear rectángulo de esquina del mismo lado 12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80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Gloves</a:t>
              </a:r>
            </a:p>
          </xdr:txBody>
        </xdr:sp>
        <xdr:sp macro="" textlink="">
          <xdr:nvSpPr>
            <xdr:cNvPr id="129" name="Redondear rectángulo de esquina del mismo lado 12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Clothes</a:t>
              </a:r>
            </a:p>
          </xdr:txBody>
        </xdr:sp>
        <xdr:sp macro="" textlink="">
          <xdr:nvSpPr>
            <xdr:cNvPr id="130" name="Redondear rectángulo de esquina del mismo lado 12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Department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31" name="Redondear rectángulo de esquina del mismo lado 13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83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175260</xdr:rowOff>
        </xdr:from>
        <xdr:to>
          <xdr:col>4</xdr:col>
          <xdr:colOff>784860</xdr:colOff>
          <xdr:row>4</xdr:row>
          <xdr:rowOff>381000</xdr:rowOff>
        </xdr:to>
        <xdr:sp macro="" textlink="">
          <xdr:nvSpPr>
            <xdr:cNvPr id="51251" name="B_5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7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Small amount (&lt;10% of body part)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365760</xdr:rowOff>
        </xdr:from>
        <xdr:to>
          <xdr:col>4</xdr:col>
          <xdr:colOff>861060</xdr:colOff>
          <xdr:row>4</xdr:row>
          <xdr:rowOff>571500</xdr:rowOff>
        </xdr:to>
        <xdr:sp macro="" textlink="">
          <xdr:nvSpPr>
            <xdr:cNvPr id="51252" name="B_6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7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Medium amount (10-50% of boy part)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</xdr:row>
          <xdr:rowOff>563880</xdr:rowOff>
        </xdr:from>
        <xdr:to>
          <xdr:col>4</xdr:col>
          <xdr:colOff>876300</xdr:colOff>
          <xdr:row>4</xdr:row>
          <xdr:rowOff>784860</xdr:rowOff>
        </xdr:to>
        <xdr:sp macro="" textlink="">
          <xdr:nvSpPr>
            <xdr:cNvPr id="51253" name="B_7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7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Large amount (≥50% of body part)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4</xdr:row>
          <xdr:rowOff>175260</xdr:rowOff>
        </xdr:from>
        <xdr:to>
          <xdr:col>4</xdr:col>
          <xdr:colOff>1127760</xdr:colOff>
          <xdr:row>4</xdr:row>
          <xdr:rowOff>365760</xdr:rowOff>
        </xdr:to>
        <xdr:sp macro="" textlink="">
          <xdr:nvSpPr>
            <xdr:cNvPr id="51254" name="B_26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7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xdr:oneCellAnchor>
    <xdr:from>
      <xdr:col>4</xdr:col>
      <xdr:colOff>217768</xdr:colOff>
      <xdr:row>6</xdr:row>
      <xdr:rowOff>24652</xdr:rowOff>
    </xdr:from>
    <xdr:ext cx="476997" cy="139700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5753474" y="2590799"/>
          <a:ext cx="476997" cy="139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050"/>
            <a:t>No/NA</a:t>
          </a:r>
        </a:p>
      </xdr:txBody>
    </xdr:sp>
    <xdr:clientData/>
  </xdr:oneCellAnchor>
  <xdr:oneCellAnchor>
    <xdr:from>
      <xdr:col>4</xdr:col>
      <xdr:colOff>790015</xdr:colOff>
      <xdr:row>6</xdr:row>
      <xdr:rowOff>24652</xdr:rowOff>
    </xdr:from>
    <xdr:ext cx="280147" cy="13970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325721" y="2590799"/>
          <a:ext cx="280147" cy="139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MX" sz="1050"/>
            <a:t>Yes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8</xdr:row>
          <xdr:rowOff>152400</xdr:rowOff>
        </xdr:from>
        <xdr:to>
          <xdr:col>3</xdr:col>
          <xdr:colOff>632460</xdr:colOff>
          <xdr:row>8</xdr:row>
          <xdr:rowOff>327660</xdr:rowOff>
        </xdr:to>
        <xdr:sp macro="" textlink="">
          <xdr:nvSpPr>
            <xdr:cNvPr id="19473" name="B_25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8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8</xdr:row>
          <xdr:rowOff>137160</xdr:rowOff>
        </xdr:from>
        <xdr:to>
          <xdr:col>4</xdr:col>
          <xdr:colOff>769620</xdr:colOff>
          <xdr:row>8</xdr:row>
          <xdr:rowOff>335280</xdr:rowOff>
        </xdr:to>
        <xdr:sp macro="" textlink="">
          <xdr:nvSpPr>
            <xdr:cNvPr id="19474" name="B_26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8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8</xdr:row>
          <xdr:rowOff>137160</xdr:rowOff>
        </xdr:from>
        <xdr:to>
          <xdr:col>5</xdr:col>
          <xdr:colOff>678180</xdr:colOff>
          <xdr:row>8</xdr:row>
          <xdr:rowOff>342900</xdr:rowOff>
        </xdr:to>
        <xdr:sp macro="" textlink="">
          <xdr:nvSpPr>
            <xdr:cNvPr id="19475" name="B_27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8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60960</xdr:rowOff>
        </xdr:from>
        <xdr:to>
          <xdr:col>6</xdr:col>
          <xdr:colOff>678180</xdr:colOff>
          <xdr:row>8</xdr:row>
          <xdr:rowOff>426720</xdr:rowOff>
        </xdr:to>
        <xdr:sp macro="" textlink="">
          <xdr:nvSpPr>
            <xdr:cNvPr id="19476" name="Group Box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8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8</xdr:row>
          <xdr:rowOff>152400</xdr:rowOff>
        </xdr:from>
        <xdr:to>
          <xdr:col>6</xdr:col>
          <xdr:colOff>579120</xdr:colOff>
          <xdr:row>8</xdr:row>
          <xdr:rowOff>335280</xdr:rowOff>
        </xdr:to>
        <xdr:sp macro="" textlink="">
          <xdr:nvSpPr>
            <xdr:cNvPr id="19477" name="B_28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8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9</xdr:row>
          <xdr:rowOff>175260</xdr:rowOff>
        </xdr:from>
        <xdr:to>
          <xdr:col>6</xdr:col>
          <xdr:colOff>594360</xdr:colOff>
          <xdr:row>9</xdr:row>
          <xdr:rowOff>365760</xdr:rowOff>
        </xdr:to>
        <xdr:sp macro="" textlink="">
          <xdr:nvSpPr>
            <xdr:cNvPr id="19487" name="B_36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8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5</xdr:row>
          <xdr:rowOff>60960</xdr:rowOff>
        </xdr:from>
        <xdr:to>
          <xdr:col>6</xdr:col>
          <xdr:colOff>670560</xdr:colOff>
          <xdr:row>5</xdr:row>
          <xdr:rowOff>426720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8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60960</xdr:rowOff>
        </xdr:from>
        <xdr:to>
          <xdr:col>6</xdr:col>
          <xdr:colOff>678180</xdr:colOff>
          <xdr:row>6</xdr:row>
          <xdr:rowOff>426720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8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7</xdr:row>
          <xdr:rowOff>152400</xdr:rowOff>
        </xdr:from>
        <xdr:to>
          <xdr:col>3</xdr:col>
          <xdr:colOff>632460</xdr:colOff>
          <xdr:row>7</xdr:row>
          <xdr:rowOff>327660</xdr:rowOff>
        </xdr:to>
        <xdr:sp macro="" textlink="">
          <xdr:nvSpPr>
            <xdr:cNvPr id="19468" name="B_17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8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7</xdr:row>
          <xdr:rowOff>137160</xdr:rowOff>
        </xdr:from>
        <xdr:to>
          <xdr:col>4</xdr:col>
          <xdr:colOff>762000</xdr:colOff>
          <xdr:row>7</xdr:row>
          <xdr:rowOff>335280</xdr:rowOff>
        </xdr:to>
        <xdr:sp macro="" textlink="">
          <xdr:nvSpPr>
            <xdr:cNvPr id="19469" name="B_18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8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7</xdr:row>
          <xdr:rowOff>137160</xdr:rowOff>
        </xdr:from>
        <xdr:to>
          <xdr:col>5</xdr:col>
          <xdr:colOff>678180</xdr:colOff>
          <xdr:row>7</xdr:row>
          <xdr:rowOff>342900</xdr:rowOff>
        </xdr:to>
        <xdr:sp macro="" textlink="">
          <xdr:nvSpPr>
            <xdr:cNvPr id="19470" name="B_19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8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60960</xdr:rowOff>
        </xdr:from>
        <xdr:to>
          <xdr:col>6</xdr:col>
          <xdr:colOff>685800</xdr:colOff>
          <xdr:row>7</xdr:row>
          <xdr:rowOff>426720</xdr:rowOff>
        </xdr:to>
        <xdr:sp macro="" textlink="">
          <xdr:nvSpPr>
            <xdr:cNvPr id="19471" name="Group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8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7</xdr:row>
          <xdr:rowOff>152400</xdr:rowOff>
        </xdr:from>
        <xdr:to>
          <xdr:col>6</xdr:col>
          <xdr:colOff>579120</xdr:colOff>
          <xdr:row>7</xdr:row>
          <xdr:rowOff>335280</xdr:rowOff>
        </xdr:to>
        <xdr:sp macro="" textlink="">
          <xdr:nvSpPr>
            <xdr:cNvPr id="19472" name="B_20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8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83820</xdr:rowOff>
        </xdr:from>
        <xdr:to>
          <xdr:col>6</xdr:col>
          <xdr:colOff>678180</xdr:colOff>
          <xdr:row>9</xdr:row>
          <xdr:rowOff>449580</xdr:rowOff>
        </xdr:to>
        <xdr:sp macro="" textlink="">
          <xdr:nvSpPr>
            <xdr:cNvPr id="19486" name="Group Box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</xdr:row>
          <xdr:rowOff>175260</xdr:rowOff>
        </xdr:from>
        <xdr:to>
          <xdr:col>3</xdr:col>
          <xdr:colOff>632460</xdr:colOff>
          <xdr:row>5</xdr:row>
          <xdr:rowOff>342900</xdr:rowOff>
        </xdr:to>
        <xdr:sp macro="" textlink="">
          <xdr:nvSpPr>
            <xdr:cNvPr id="19457" name="B_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5</xdr:row>
          <xdr:rowOff>152400</xdr:rowOff>
        </xdr:from>
        <xdr:to>
          <xdr:col>4</xdr:col>
          <xdr:colOff>746760</xdr:colOff>
          <xdr:row>5</xdr:row>
          <xdr:rowOff>350520</xdr:rowOff>
        </xdr:to>
        <xdr:sp macro="" textlink="">
          <xdr:nvSpPr>
            <xdr:cNvPr id="19458" name="B_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312420</xdr:colOff>
          <xdr:row>5</xdr:row>
          <xdr:rowOff>144780</xdr:rowOff>
        </xdr:from>
        <xdr:to>
          <xdr:col>5</xdr:col>
          <xdr:colOff>655320</xdr:colOff>
          <xdr:row>5</xdr:row>
          <xdr:rowOff>365760</xdr:rowOff>
        </xdr:to>
        <xdr:sp macro="" textlink="">
          <xdr:nvSpPr>
            <xdr:cNvPr id="19459" name="B_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5</xdr:row>
          <xdr:rowOff>175260</xdr:rowOff>
        </xdr:from>
        <xdr:to>
          <xdr:col>6</xdr:col>
          <xdr:colOff>579120</xdr:colOff>
          <xdr:row>5</xdr:row>
          <xdr:rowOff>350520</xdr:rowOff>
        </xdr:to>
        <xdr:sp macro="" textlink="">
          <xdr:nvSpPr>
            <xdr:cNvPr id="19462" name="B_4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8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6</xdr:row>
          <xdr:rowOff>175260</xdr:rowOff>
        </xdr:from>
        <xdr:to>
          <xdr:col>3</xdr:col>
          <xdr:colOff>632460</xdr:colOff>
          <xdr:row>6</xdr:row>
          <xdr:rowOff>350520</xdr:rowOff>
        </xdr:to>
        <xdr:sp macro="" textlink="">
          <xdr:nvSpPr>
            <xdr:cNvPr id="19463" name="B_9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8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6</xdr:row>
          <xdr:rowOff>160020</xdr:rowOff>
        </xdr:from>
        <xdr:to>
          <xdr:col>4</xdr:col>
          <xdr:colOff>746760</xdr:colOff>
          <xdr:row>6</xdr:row>
          <xdr:rowOff>365760</xdr:rowOff>
        </xdr:to>
        <xdr:sp macro="" textlink="">
          <xdr:nvSpPr>
            <xdr:cNvPr id="19464" name="B_10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8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6</xdr:row>
          <xdr:rowOff>152400</xdr:rowOff>
        </xdr:from>
        <xdr:to>
          <xdr:col>5</xdr:col>
          <xdr:colOff>670560</xdr:colOff>
          <xdr:row>6</xdr:row>
          <xdr:rowOff>365760</xdr:rowOff>
        </xdr:to>
        <xdr:sp macro="" textlink="">
          <xdr:nvSpPr>
            <xdr:cNvPr id="19465" name="B_1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8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6</xdr:row>
          <xdr:rowOff>175260</xdr:rowOff>
        </xdr:from>
        <xdr:to>
          <xdr:col>6</xdr:col>
          <xdr:colOff>594360</xdr:colOff>
          <xdr:row>6</xdr:row>
          <xdr:rowOff>365760</xdr:rowOff>
        </xdr:to>
        <xdr:sp macro="" textlink="">
          <xdr:nvSpPr>
            <xdr:cNvPr id="19467" name="B_12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8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9</xdr:row>
          <xdr:rowOff>175260</xdr:rowOff>
        </xdr:from>
        <xdr:to>
          <xdr:col>3</xdr:col>
          <xdr:colOff>632460</xdr:colOff>
          <xdr:row>9</xdr:row>
          <xdr:rowOff>350520</xdr:rowOff>
        </xdr:to>
        <xdr:sp macro="" textlink="">
          <xdr:nvSpPr>
            <xdr:cNvPr id="19483" name="B_33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8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9</xdr:row>
          <xdr:rowOff>160020</xdr:rowOff>
        </xdr:from>
        <xdr:to>
          <xdr:col>4</xdr:col>
          <xdr:colOff>746760</xdr:colOff>
          <xdr:row>9</xdr:row>
          <xdr:rowOff>365760</xdr:rowOff>
        </xdr:to>
        <xdr:sp macro="" textlink="">
          <xdr:nvSpPr>
            <xdr:cNvPr id="19484" name="B_34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9</xdr:row>
          <xdr:rowOff>152400</xdr:rowOff>
        </xdr:from>
        <xdr:to>
          <xdr:col>5</xdr:col>
          <xdr:colOff>670560</xdr:colOff>
          <xdr:row>9</xdr:row>
          <xdr:rowOff>365760</xdr:rowOff>
        </xdr:to>
        <xdr:sp macro="" textlink="">
          <xdr:nvSpPr>
            <xdr:cNvPr id="19485" name="B_35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8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</xdr:row>
          <xdr:rowOff>175260</xdr:rowOff>
        </xdr:from>
        <xdr:to>
          <xdr:col>7</xdr:col>
          <xdr:colOff>670560</xdr:colOff>
          <xdr:row>5</xdr:row>
          <xdr:rowOff>342900</xdr:rowOff>
        </xdr:to>
        <xdr:sp macro="" textlink="">
          <xdr:nvSpPr>
            <xdr:cNvPr id="19488" name="B_5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8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</xdr:row>
          <xdr:rowOff>152400</xdr:rowOff>
        </xdr:from>
        <xdr:to>
          <xdr:col>8</xdr:col>
          <xdr:colOff>762000</xdr:colOff>
          <xdr:row>5</xdr:row>
          <xdr:rowOff>350520</xdr:rowOff>
        </xdr:to>
        <xdr:sp macro="" textlink="">
          <xdr:nvSpPr>
            <xdr:cNvPr id="19489" name="B_6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297180</xdr:colOff>
          <xdr:row>5</xdr:row>
          <xdr:rowOff>144780</xdr:rowOff>
        </xdr:from>
        <xdr:to>
          <xdr:col>9</xdr:col>
          <xdr:colOff>640080</xdr:colOff>
          <xdr:row>5</xdr:row>
          <xdr:rowOff>365760</xdr:rowOff>
        </xdr:to>
        <xdr:sp macro="" textlink="">
          <xdr:nvSpPr>
            <xdr:cNvPr id="19490" name="B_7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5</xdr:row>
          <xdr:rowOff>60960</xdr:rowOff>
        </xdr:from>
        <xdr:to>
          <xdr:col>10</xdr:col>
          <xdr:colOff>754380</xdr:colOff>
          <xdr:row>5</xdr:row>
          <xdr:rowOff>419100</xdr:rowOff>
        </xdr:to>
        <xdr:sp macro="" textlink="">
          <xdr:nvSpPr>
            <xdr:cNvPr id="19491" name="Group Box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5</xdr:row>
          <xdr:rowOff>175260</xdr:rowOff>
        </xdr:from>
        <xdr:to>
          <xdr:col>10</xdr:col>
          <xdr:colOff>579120</xdr:colOff>
          <xdr:row>5</xdr:row>
          <xdr:rowOff>350520</xdr:rowOff>
        </xdr:to>
        <xdr:sp macro="" textlink="">
          <xdr:nvSpPr>
            <xdr:cNvPr id="19492" name="B_8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350520</xdr:colOff>
          <xdr:row>6</xdr:row>
          <xdr:rowOff>175260</xdr:rowOff>
        </xdr:from>
        <xdr:to>
          <xdr:col>7</xdr:col>
          <xdr:colOff>670560</xdr:colOff>
          <xdr:row>6</xdr:row>
          <xdr:rowOff>350520</xdr:rowOff>
        </xdr:to>
        <xdr:sp macro="" textlink="">
          <xdr:nvSpPr>
            <xdr:cNvPr id="19493" name="B_13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8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6</xdr:row>
          <xdr:rowOff>160020</xdr:rowOff>
        </xdr:from>
        <xdr:to>
          <xdr:col>8</xdr:col>
          <xdr:colOff>769620</xdr:colOff>
          <xdr:row>6</xdr:row>
          <xdr:rowOff>365760</xdr:rowOff>
        </xdr:to>
        <xdr:sp macro="" textlink="">
          <xdr:nvSpPr>
            <xdr:cNvPr id="19494" name="B_14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8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152400</xdr:rowOff>
        </xdr:from>
        <xdr:to>
          <xdr:col>9</xdr:col>
          <xdr:colOff>647700</xdr:colOff>
          <xdr:row>6</xdr:row>
          <xdr:rowOff>365760</xdr:rowOff>
        </xdr:to>
        <xdr:sp macro="" textlink="">
          <xdr:nvSpPr>
            <xdr:cNvPr id="19495" name="B_15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8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6</xdr:row>
          <xdr:rowOff>60960</xdr:rowOff>
        </xdr:from>
        <xdr:to>
          <xdr:col>10</xdr:col>
          <xdr:colOff>754380</xdr:colOff>
          <xdr:row>6</xdr:row>
          <xdr:rowOff>426720</xdr:rowOff>
        </xdr:to>
        <xdr:sp macro="" textlink="">
          <xdr:nvSpPr>
            <xdr:cNvPr id="19496" name="Group Box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8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6</xdr:row>
          <xdr:rowOff>175260</xdr:rowOff>
        </xdr:from>
        <xdr:to>
          <xdr:col>10</xdr:col>
          <xdr:colOff>594360</xdr:colOff>
          <xdr:row>6</xdr:row>
          <xdr:rowOff>365760</xdr:rowOff>
        </xdr:to>
        <xdr:sp macro="" textlink="">
          <xdr:nvSpPr>
            <xdr:cNvPr id="19497" name="B_16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8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350520</xdr:colOff>
          <xdr:row>7</xdr:row>
          <xdr:rowOff>152400</xdr:rowOff>
        </xdr:from>
        <xdr:to>
          <xdr:col>7</xdr:col>
          <xdr:colOff>670560</xdr:colOff>
          <xdr:row>7</xdr:row>
          <xdr:rowOff>327660</xdr:rowOff>
        </xdr:to>
        <xdr:sp macro="" textlink="">
          <xdr:nvSpPr>
            <xdr:cNvPr id="19498" name="B_21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8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7</xdr:row>
          <xdr:rowOff>137160</xdr:rowOff>
        </xdr:from>
        <xdr:to>
          <xdr:col>8</xdr:col>
          <xdr:colOff>769620</xdr:colOff>
          <xdr:row>7</xdr:row>
          <xdr:rowOff>335280</xdr:rowOff>
        </xdr:to>
        <xdr:sp macro="" textlink="">
          <xdr:nvSpPr>
            <xdr:cNvPr id="19499" name="B_22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8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137160</xdr:rowOff>
        </xdr:from>
        <xdr:to>
          <xdr:col>9</xdr:col>
          <xdr:colOff>647700</xdr:colOff>
          <xdr:row>7</xdr:row>
          <xdr:rowOff>342900</xdr:rowOff>
        </xdr:to>
        <xdr:sp macro="" textlink="">
          <xdr:nvSpPr>
            <xdr:cNvPr id="19500" name="B_23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8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7</xdr:row>
          <xdr:rowOff>60960</xdr:rowOff>
        </xdr:from>
        <xdr:to>
          <xdr:col>10</xdr:col>
          <xdr:colOff>754380</xdr:colOff>
          <xdr:row>7</xdr:row>
          <xdr:rowOff>426720</xdr:rowOff>
        </xdr:to>
        <xdr:sp macro="" textlink="">
          <xdr:nvSpPr>
            <xdr:cNvPr id="19501" name="Group Box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8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7</xdr:row>
          <xdr:rowOff>152400</xdr:rowOff>
        </xdr:from>
        <xdr:to>
          <xdr:col>10</xdr:col>
          <xdr:colOff>594360</xdr:colOff>
          <xdr:row>7</xdr:row>
          <xdr:rowOff>335280</xdr:rowOff>
        </xdr:to>
        <xdr:sp macro="" textlink="">
          <xdr:nvSpPr>
            <xdr:cNvPr id="19502" name="B_24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8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8</xdr:row>
          <xdr:rowOff>152400</xdr:rowOff>
        </xdr:from>
        <xdr:to>
          <xdr:col>7</xdr:col>
          <xdr:colOff>678180</xdr:colOff>
          <xdr:row>8</xdr:row>
          <xdr:rowOff>327660</xdr:rowOff>
        </xdr:to>
        <xdr:sp macro="" textlink="">
          <xdr:nvSpPr>
            <xdr:cNvPr id="19503" name="B_29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8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365760</xdr:colOff>
          <xdr:row>8</xdr:row>
          <xdr:rowOff>137160</xdr:rowOff>
        </xdr:from>
        <xdr:to>
          <xdr:col>8</xdr:col>
          <xdr:colOff>784860</xdr:colOff>
          <xdr:row>8</xdr:row>
          <xdr:rowOff>335280</xdr:rowOff>
        </xdr:to>
        <xdr:sp macro="" textlink="">
          <xdr:nvSpPr>
            <xdr:cNvPr id="19504" name="B_30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8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8</xdr:row>
          <xdr:rowOff>137160</xdr:rowOff>
        </xdr:from>
        <xdr:to>
          <xdr:col>9</xdr:col>
          <xdr:colOff>655320</xdr:colOff>
          <xdr:row>8</xdr:row>
          <xdr:rowOff>342900</xdr:rowOff>
        </xdr:to>
        <xdr:sp macro="" textlink="">
          <xdr:nvSpPr>
            <xdr:cNvPr id="19505" name="B_31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8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8</xdr:row>
          <xdr:rowOff>60960</xdr:rowOff>
        </xdr:from>
        <xdr:to>
          <xdr:col>10</xdr:col>
          <xdr:colOff>769620</xdr:colOff>
          <xdr:row>8</xdr:row>
          <xdr:rowOff>426720</xdr:rowOff>
        </xdr:to>
        <xdr:sp macro="" textlink="">
          <xdr:nvSpPr>
            <xdr:cNvPr id="19506" name="Group Box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8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152400</xdr:rowOff>
        </xdr:from>
        <xdr:to>
          <xdr:col>10</xdr:col>
          <xdr:colOff>601980</xdr:colOff>
          <xdr:row>8</xdr:row>
          <xdr:rowOff>335280</xdr:rowOff>
        </xdr:to>
        <xdr:sp macro="" textlink="">
          <xdr:nvSpPr>
            <xdr:cNvPr id="19507" name="B_32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8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9</xdr:row>
          <xdr:rowOff>175260</xdr:rowOff>
        </xdr:from>
        <xdr:to>
          <xdr:col>7</xdr:col>
          <xdr:colOff>693420</xdr:colOff>
          <xdr:row>9</xdr:row>
          <xdr:rowOff>350520</xdr:rowOff>
        </xdr:to>
        <xdr:sp macro="" textlink="">
          <xdr:nvSpPr>
            <xdr:cNvPr id="19508" name="B_37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8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9</xdr:row>
          <xdr:rowOff>160020</xdr:rowOff>
        </xdr:from>
        <xdr:to>
          <xdr:col>8</xdr:col>
          <xdr:colOff>792480</xdr:colOff>
          <xdr:row>9</xdr:row>
          <xdr:rowOff>365760</xdr:rowOff>
        </xdr:to>
        <xdr:sp macro="" textlink="">
          <xdr:nvSpPr>
            <xdr:cNvPr id="19509" name="B_38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8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9</xdr:row>
          <xdr:rowOff>152400</xdr:rowOff>
        </xdr:from>
        <xdr:to>
          <xdr:col>9</xdr:col>
          <xdr:colOff>670560</xdr:colOff>
          <xdr:row>9</xdr:row>
          <xdr:rowOff>365760</xdr:rowOff>
        </xdr:to>
        <xdr:sp macro="" textlink="">
          <xdr:nvSpPr>
            <xdr:cNvPr id="19510" name="B_39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8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83820</xdr:rowOff>
        </xdr:from>
        <xdr:to>
          <xdr:col>10</xdr:col>
          <xdr:colOff>784860</xdr:colOff>
          <xdr:row>9</xdr:row>
          <xdr:rowOff>449580</xdr:rowOff>
        </xdr:to>
        <xdr:sp macro="" textlink="">
          <xdr:nvSpPr>
            <xdr:cNvPr id="19511" name="Group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8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9</xdr:row>
          <xdr:rowOff>175260</xdr:rowOff>
        </xdr:from>
        <xdr:to>
          <xdr:col>10</xdr:col>
          <xdr:colOff>609600</xdr:colOff>
          <xdr:row>9</xdr:row>
          <xdr:rowOff>365760</xdr:rowOff>
        </xdr:to>
        <xdr:sp macro="" textlink="">
          <xdr:nvSpPr>
            <xdr:cNvPr id="19512" name="B_40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8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12</xdr:row>
          <xdr:rowOff>152400</xdr:rowOff>
        </xdr:from>
        <xdr:to>
          <xdr:col>3</xdr:col>
          <xdr:colOff>632460</xdr:colOff>
          <xdr:row>12</xdr:row>
          <xdr:rowOff>327660</xdr:rowOff>
        </xdr:to>
        <xdr:sp macro="" textlink="">
          <xdr:nvSpPr>
            <xdr:cNvPr id="19513" name="B_41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8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</xdr:row>
          <xdr:rowOff>137160</xdr:rowOff>
        </xdr:from>
        <xdr:to>
          <xdr:col>4</xdr:col>
          <xdr:colOff>746760</xdr:colOff>
          <xdr:row>12</xdr:row>
          <xdr:rowOff>335280</xdr:rowOff>
        </xdr:to>
        <xdr:sp macro="" textlink="">
          <xdr:nvSpPr>
            <xdr:cNvPr id="19514" name="B_42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8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12</xdr:row>
          <xdr:rowOff>137160</xdr:rowOff>
        </xdr:from>
        <xdr:to>
          <xdr:col>5</xdr:col>
          <xdr:colOff>670560</xdr:colOff>
          <xdr:row>12</xdr:row>
          <xdr:rowOff>342900</xdr:rowOff>
        </xdr:to>
        <xdr:sp macro="" textlink="">
          <xdr:nvSpPr>
            <xdr:cNvPr id="19515" name="B_43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8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60960</xdr:rowOff>
        </xdr:from>
        <xdr:to>
          <xdr:col>6</xdr:col>
          <xdr:colOff>678180</xdr:colOff>
          <xdr:row>12</xdr:row>
          <xdr:rowOff>426720</xdr:rowOff>
        </xdr:to>
        <xdr:sp macro="" textlink="">
          <xdr:nvSpPr>
            <xdr:cNvPr id="19516" name="Group Box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8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6</xdr:col>
          <xdr:colOff>594360</xdr:colOff>
          <xdr:row>12</xdr:row>
          <xdr:rowOff>335280</xdr:rowOff>
        </xdr:to>
        <xdr:sp macro="" textlink="">
          <xdr:nvSpPr>
            <xdr:cNvPr id="19517" name="B_44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8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13</xdr:row>
          <xdr:rowOff>152400</xdr:rowOff>
        </xdr:from>
        <xdr:to>
          <xdr:col>3</xdr:col>
          <xdr:colOff>632460</xdr:colOff>
          <xdr:row>13</xdr:row>
          <xdr:rowOff>327660</xdr:rowOff>
        </xdr:to>
        <xdr:sp macro="" textlink="">
          <xdr:nvSpPr>
            <xdr:cNvPr id="19518" name="B_49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8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137160</xdr:rowOff>
        </xdr:from>
        <xdr:to>
          <xdr:col>4</xdr:col>
          <xdr:colOff>746760</xdr:colOff>
          <xdr:row>13</xdr:row>
          <xdr:rowOff>335280</xdr:rowOff>
        </xdr:to>
        <xdr:sp macro="" textlink="">
          <xdr:nvSpPr>
            <xdr:cNvPr id="19519" name="B_50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8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13</xdr:row>
          <xdr:rowOff>137160</xdr:rowOff>
        </xdr:from>
        <xdr:to>
          <xdr:col>5</xdr:col>
          <xdr:colOff>670560</xdr:colOff>
          <xdr:row>13</xdr:row>
          <xdr:rowOff>342900</xdr:rowOff>
        </xdr:to>
        <xdr:sp macro="" textlink="">
          <xdr:nvSpPr>
            <xdr:cNvPr id="19520" name="B_51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8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60960</xdr:rowOff>
        </xdr:from>
        <xdr:to>
          <xdr:col>6</xdr:col>
          <xdr:colOff>678180</xdr:colOff>
          <xdr:row>13</xdr:row>
          <xdr:rowOff>426720</xdr:rowOff>
        </xdr:to>
        <xdr:sp macro="" textlink="">
          <xdr:nvSpPr>
            <xdr:cNvPr id="19521" name="Group Box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8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13</xdr:row>
          <xdr:rowOff>152400</xdr:rowOff>
        </xdr:from>
        <xdr:to>
          <xdr:col>6</xdr:col>
          <xdr:colOff>594360</xdr:colOff>
          <xdr:row>13</xdr:row>
          <xdr:rowOff>335280</xdr:rowOff>
        </xdr:to>
        <xdr:sp macro="" textlink="">
          <xdr:nvSpPr>
            <xdr:cNvPr id="19522" name="B_52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8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14</xdr:row>
          <xdr:rowOff>137160</xdr:rowOff>
        </xdr:from>
        <xdr:to>
          <xdr:col>3</xdr:col>
          <xdr:colOff>632460</xdr:colOff>
          <xdr:row>14</xdr:row>
          <xdr:rowOff>312420</xdr:rowOff>
        </xdr:to>
        <xdr:sp macro="" textlink="">
          <xdr:nvSpPr>
            <xdr:cNvPr id="19523" name="B_5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8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14</xdr:row>
          <xdr:rowOff>121920</xdr:rowOff>
        </xdr:from>
        <xdr:to>
          <xdr:col>4</xdr:col>
          <xdr:colOff>746760</xdr:colOff>
          <xdr:row>14</xdr:row>
          <xdr:rowOff>327660</xdr:rowOff>
        </xdr:to>
        <xdr:sp macro="" textlink="">
          <xdr:nvSpPr>
            <xdr:cNvPr id="19524" name="B_5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8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14</xdr:row>
          <xdr:rowOff>114300</xdr:rowOff>
        </xdr:from>
        <xdr:to>
          <xdr:col>5</xdr:col>
          <xdr:colOff>670560</xdr:colOff>
          <xdr:row>14</xdr:row>
          <xdr:rowOff>327660</xdr:rowOff>
        </xdr:to>
        <xdr:sp macro="" textlink="">
          <xdr:nvSpPr>
            <xdr:cNvPr id="19525" name="B_5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8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14</xdr:row>
          <xdr:rowOff>45720</xdr:rowOff>
        </xdr:from>
        <xdr:to>
          <xdr:col>6</xdr:col>
          <xdr:colOff>678180</xdr:colOff>
          <xdr:row>14</xdr:row>
          <xdr:rowOff>411480</xdr:rowOff>
        </xdr:to>
        <xdr:sp macro="" textlink="">
          <xdr:nvSpPr>
            <xdr:cNvPr id="19526" name="Group Box 70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8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14</xdr:row>
          <xdr:rowOff>137160</xdr:rowOff>
        </xdr:from>
        <xdr:to>
          <xdr:col>6</xdr:col>
          <xdr:colOff>594360</xdr:colOff>
          <xdr:row>14</xdr:row>
          <xdr:rowOff>327660</xdr:rowOff>
        </xdr:to>
        <xdr:sp macro="" textlink="">
          <xdr:nvSpPr>
            <xdr:cNvPr id="19527" name="B_60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8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15</xdr:row>
          <xdr:rowOff>137160</xdr:rowOff>
        </xdr:from>
        <xdr:to>
          <xdr:col>3</xdr:col>
          <xdr:colOff>632460</xdr:colOff>
          <xdr:row>15</xdr:row>
          <xdr:rowOff>304800</xdr:rowOff>
        </xdr:to>
        <xdr:sp macro="" textlink="">
          <xdr:nvSpPr>
            <xdr:cNvPr id="19528" name="B_65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8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15</xdr:row>
          <xdr:rowOff>114300</xdr:rowOff>
        </xdr:from>
        <xdr:to>
          <xdr:col>4</xdr:col>
          <xdr:colOff>746760</xdr:colOff>
          <xdr:row>15</xdr:row>
          <xdr:rowOff>312420</xdr:rowOff>
        </xdr:to>
        <xdr:sp macro="" textlink="">
          <xdr:nvSpPr>
            <xdr:cNvPr id="19529" name="B_66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8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15</xdr:row>
          <xdr:rowOff>106680</xdr:rowOff>
        </xdr:from>
        <xdr:to>
          <xdr:col>5</xdr:col>
          <xdr:colOff>670560</xdr:colOff>
          <xdr:row>15</xdr:row>
          <xdr:rowOff>327660</xdr:rowOff>
        </xdr:to>
        <xdr:sp macro="" textlink="">
          <xdr:nvSpPr>
            <xdr:cNvPr id="19530" name="B_67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8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38100</xdr:rowOff>
        </xdr:from>
        <xdr:to>
          <xdr:col>6</xdr:col>
          <xdr:colOff>678180</xdr:colOff>
          <xdr:row>15</xdr:row>
          <xdr:rowOff>403860</xdr:rowOff>
        </xdr:to>
        <xdr:sp macro="" textlink="">
          <xdr:nvSpPr>
            <xdr:cNvPr id="19531" name="Group Box 75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8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15</xdr:row>
          <xdr:rowOff>137160</xdr:rowOff>
        </xdr:from>
        <xdr:to>
          <xdr:col>6</xdr:col>
          <xdr:colOff>594360</xdr:colOff>
          <xdr:row>15</xdr:row>
          <xdr:rowOff>312420</xdr:rowOff>
        </xdr:to>
        <xdr:sp macro="" textlink="">
          <xdr:nvSpPr>
            <xdr:cNvPr id="19532" name="B_68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8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16</xdr:row>
          <xdr:rowOff>137160</xdr:rowOff>
        </xdr:from>
        <xdr:to>
          <xdr:col>3</xdr:col>
          <xdr:colOff>640080</xdr:colOff>
          <xdr:row>16</xdr:row>
          <xdr:rowOff>304800</xdr:rowOff>
        </xdr:to>
        <xdr:sp macro="" textlink="">
          <xdr:nvSpPr>
            <xdr:cNvPr id="19533" name="B_73" hidden="1">
              <a:extLst>
                <a:ext uri="{63B3BB69-23CF-44E3-9099-C40C66FF867C}">
                  <a14:compatExt spid="_x0000_s19533"/>
                </a:ext>
                <a:ext uri="{FF2B5EF4-FFF2-40B4-BE49-F238E27FC236}">
                  <a16:creationId xmlns:a16="http://schemas.microsoft.com/office/drawing/2014/main" id="{00000000-0008-0000-0800-00004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335280</xdr:colOff>
          <xdr:row>16</xdr:row>
          <xdr:rowOff>114300</xdr:rowOff>
        </xdr:from>
        <xdr:to>
          <xdr:col>4</xdr:col>
          <xdr:colOff>754380</xdr:colOff>
          <xdr:row>16</xdr:row>
          <xdr:rowOff>312420</xdr:rowOff>
        </xdr:to>
        <xdr:sp macro="" textlink="">
          <xdr:nvSpPr>
            <xdr:cNvPr id="19534" name="B_74" hidden="1">
              <a:extLst>
                <a:ext uri="{63B3BB69-23CF-44E3-9099-C40C66FF867C}">
                  <a14:compatExt spid="_x0000_s19534"/>
                </a:ext>
                <a:ext uri="{FF2B5EF4-FFF2-40B4-BE49-F238E27FC236}">
                  <a16:creationId xmlns:a16="http://schemas.microsoft.com/office/drawing/2014/main" id="{00000000-0008-0000-0800-00004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16</xdr:row>
          <xdr:rowOff>114300</xdr:rowOff>
        </xdr:from>
        <xdr:to>
          <xdr:col>5</xdr:col>
          <xdr:colOff>670560</xdr:colOff>
          <xdr:row>16</xdr:row>
          <xdr:rowOff>327660</xdr:rowOff>
        </xdr:to>
        <xdr:sp macro="" textlink="">
          <xdr:nvSpPr>
            <xdr:cNvPr id="19535" name="B_75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8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38100</xdr:rowOff>
        </xdr:from>
        <xdr:to>
          <xdr:col>6</xdr:col>
          <xdr:colOff>685800</xdr:colOff>
          <xdr:row>16</xdr:row>
          <xdr:rowOff>411480</xdr:rowOff>
        </xdr:to>
        <xdr:sp macro="" textlink="">
          <xdr:nvSpPr>
            <xdr:cNvPr id="19536" name="Group Box 8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8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373380</xdr:colOff>
          <xdr:row>16</xdr:row>
          <xdr:rowOff>137160</xdr:rowOff>
        </xdr:from>
        <xdr:to>
          <xdr:col>6</xdr:col>
          <xdr:colOff>594360</xdr:colOff>
          <xdr:row>16</xdr:row>
          <xdr:rowOff>312420</xdr:rowOff>
        </xdr:to>
        <xdr:sp macro="" textlink="">
          <xdr:nvSpPr>
            <xdr:cNvPr id="19537" name="B_76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8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12</xdr:row>
          <xdr:rowOff>152400</xdr:rowOff>
        </xdr:from>
        <xdr:to>
          <xdr:col>7</xdr:col>
          <xdr:colOff>632460</xdr:colOff>
          <xdr:row>12</xdr:row>
          <xdr:rowOff>327660</xdr:rowOff>
        </xdr:to>
        <xdr:sp macro="" textlink="">
          <xdr:nvSpPr>
            <xdr:cNvPr id="19538" name="B_45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8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12</xdr:row>
          <xdr:rowOff>137160</xdr:rowOff>
        </xdr:from>
        <xdr:to>
          <xdr:col>8</xdr:col>
          <xdr:colOff>723900</xdr:colOff>
          <xdr:row>12</xdr:row>
          <xdr:rowOff>335280</xdr:rowOff>
        </xdr:to>
        <xdr:sp macro="" textlink="">
          <xdr:nvSpPr>
            <xdr:cNvPr id="19539" name="B_46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8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12</xdr:row>
          <xdr:rowOff>137160</xdr:rowOff>
        </xdr:from>
        <xdr:to>
          <xdr:col>9</xdr:col>
          <xdr:colOff>594360</xdr:colOff>
          <xdr:row>12</xdr:row>
          <xdr:rowOff>342900</xdr:rowOff>
        </xdr:to>
        <xdr:sp macro="" textlink="">
          <xdr:nvSpPr>
            <xdr:cNvPr id="19540" name="B_47" hidden="1">
              <a:extLst>
                <a:ext uri="{63B3BB69-23CF-44E3-9099-C40C66FF867C}">
                  <a14:compatExt spid="_x0000_s19540"/>
                </a:ext>
                <a:ext uri="{FF2B5EF4-FFF2-40B4-BE49-F238E27FC236}">
                  <a16:creationId xmlns:a16="http://schemas.microsoft.com/office/drawing/2014/main" id="{00000000-0008-0000-0800-00005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12</xdr:row>
          <xdr:rowOff>60960</xdr:rowOff>
        </xdr:from>
        <xdr:to>
          <xdr:col>10</xdr:col>
          <xdr:colOff>754380</xdr:colOff>
          <xdr:row>12</xdr:row>
          <xdr:rowOff>426720</xdr:rowOff>
        </xdr:to>
        <xdr:sp macro="" textlink="">
          <xdr:nvSpPr>
            <xdr:cNvPr id="19541" name="Group Box 85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8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12</xdr:row>
          <xdr:rowOff>152400</xdr:rowOff>
        </xdr:from>
        <xdr:to>
          <xdr:col>10</xdr:col>
          <xdr:colOff>594360</xdr:colOff>
          <xdr:row>12</xdr:row>
          <xdr:rowOff>335280</xdr:rowOff>
        </xdr:to>
        <xdr:sp macro="" textlink="">
          <xdr:nvSpPr>
            <xdr:cNvPr id="19542" name="B_48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8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13</xdr:row>
          <xdr:rowOff>152400</xdr:rowOff>
        </xdr:from>
        <xdr:to>
          <xdr:col>7</xdr:col>
          <xdr:colOff>632460</xdr:colOff>
          <xdr:row>13</xdr:row>
          <xdr:rowOff>327660</xdr:rowOff>
        </xdr:to>
        <xdr:sp macro="" textlink="">
          <xdr:nvSpPr>
            <xdr:cNvPr id="19543" name="B_53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8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13</xdr:row>
          <xdr:rowOff>137160</xdr:rowOff>
        </xdr:from>
        <xdr:to>
          <xdr:col>8</xdr:col>
          <xdr:colOff>723900</xdr:colOff>
          <xdr:row>13</xdr:row>
          <xdr:rowOff>335280</xdr:rowOff>
        </xdr:to>
        <xdr:sp macro="" textlink="">
          <xdr:nvSpPr>
            <xdr:cNvPr id="19544" name="B_54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8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13</xdr:row>
          <xdr:rowOff>121920</xdr:rowOff>
        </xdr:from>
        <xdr:to>
          <xdr:col>9</xdr:col>
          <xdr:colOff>594360</xdr:colOff>
          <xdr:row>13</xdr:row>
          <xdr:rowOff>342900</xdr:rowOff>
        </xdr:to>
        <xdr:sp macro="" textlink="">
          <xdr:nvSpPr>
            <xdr:cNvPr id="19545" name="B_55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8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60960</xdr:rowOff>
        </xdr:from>
        <xdr:to>
          <xdr:col>10</xdr:col>
          <xdr:colOff>762000</xdr:colOff>
          <xdr:row>13</xdr:row>
          <xdr:rowOff>426720</xdr:rowOff>
        </xdr:to>
        <xdr:sp macro="" textlink="">
          <xdr:nvSpPr>
            <xdr:cNvPr id="19546" name="Group Box 90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8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13</xdr:row>
          <xdr:rowOff>152400</xdr:rowOff>
        </xdr:from>
        <xdr:to>
          <xdr:col>10</xdr:col>
          <xdr:colOff>594360</xdr:colOff>
          <xdr:row>13</xdr:row>
          <xdr:rowOff>335280</xdr:rowOff>
        </xdr:to>
        <xdr:sp macro="" textlink="">
          <xdr:nvSpPr>
            <xdr:cNvPr id="19547" name="B_56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8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14</xdr:row>
          <xdr:rowOff>137160</xdr:rowOff>
        </xdr:from>
        <xdr:to>
          <xdr:col>7</xdr:col>
          <xdr:colOff>640080</xdr:colOff>
          <xdr:row>14</xdr:row>
          <xdr:rowOff>312420</xdr:rowOff>
        </xdr:to>
        <xdr:sp macro="" textlink="">
          <xdr:nvSpPr>
            <xdr:cNvPr id="19548" name="B_61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8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14</xdr:row>
          <xdr:rowOff>137160</xdr:rowOff>
        </xdr:from>
        <xdr:to>
          <xdr:col>8</xdr:col>
          <xdr:colOff>731520</xdr:colOff>
          <xdr:row>14</xdr:row>
          <xdr:rowOff>327660</xdr:rowOff>
        </xdr:to>
        <xdr:sp macro="" textlink="">
          <xdr:nvSpPr>
            <xdr:cNvPr id="19549" name="B_62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8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14</xdr:row>
          <xdr:rowOff>114300</xdr:rowOff>
        </xdr:from>
        <xdr:to>
          <xdr:col>9</xdr:col>
          <xdr:colOff>601980</xdr:colOff>
          <xdr:row>14</xdr:row>
          <xdr:rowOff>327660</xdr:rowOff>
        </xdr:to>
        <xdr:sp macro="" textlink="">
          <xdr:nvSpPr>
            <xdr:cNvPr id="19550" name="B_63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8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45720</xdr:rowOff>
        </xdr:from>
        <xdr:to>
          <xdr:col>10</xdr:col>
          <xdr:colOff>784860</xdr:colOff>
          <xdr:row>14</xdr:row>
          <xdr:rowOff>411480</xdr:rowOff>
        </xdr:to>
        <xdr:sp macro="" textlink="">
          <xdr:nvSpPr>
            <xdr:cNvPr id="19551" name="Group Box 95" hidden="1">
              <a:extLst>
                <a:ext uri="{63B3BB69-23CF-44E3-9099-C40C66FF867C}">
                  <a14:compatExt spid="_x0000_s19551"/>
                </a:ext>
                <a:ext uri="{FF2B5EF4-FFF2-40B4-BE49-F238E27FC236}">
                  <a16:creationId xmlns:a16="http://schemas.microsoft.com/office/drawing/2014/main" id="{00000000-0008-0000-0800-00005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14</xdr:row>
          <xdr:rowOff>137160</xdr:rowOff>
        </xdr:from>
        <xdr:to>
          <xdr:col>10</xdr:col>
          <xdr:colOff>594360</xdr:colOff>
          <xdr:row>14</xdr:row>
          <xdr:rowOff>327660</xdr:rowOff>
        </xdr:to>
        <xdr:sp macro="" textlink="">
          <xdr:nvSpPr>
            <xdr:cNvPr id="19552" name="B_64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8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15</xdr:row>
          <xdr:rowOff>121920</xdr:rowOff>
        </xdr:from>
        <xdr:to>
          <xdr:col>7</xdr:col>
          <xdr:colOff>632460</xdr:colOff>
          <xdr:row>15</xdr:row>
          <xdr:rowOff>297180</xdr:rowOff>
        </xdr:to>
        <xdr:sp macro="" textlink="">
          <xdr:nvSpPr>
            <xdr:cNvPr id="19553" name="B_69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8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15</xdr:row>
          <xdr:rowOff>106680</xdr:rowOff>
        </xdr:from>
        <xdr:to>
          <xdr:col>8</xdr:col>
          <xdr:colOff>723900</xdr:colOff>
          <xdr:row>15</xdr:row>
          <xdr:rowOff>304800</xdr:rowOff>
        </xdr:to>
        <xdr:sp macro="" textlink="">
          <xdr:nvSpPr>
            <xdr:cNvPr id="19554" name="B_70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8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15</xdr:row>
          <xdr:rowOff>99060</xdr:rowOff>
        </xdr:from>
        <xdr:to>
          <xdr:col>9</xdr:col>
          <xdr:colOff>594360</xdr:colOff>
          <xdr:row>15</xdr:row>
          <xdr:rowOff>312420</xdr:rowOff>
        </xdr:to>
        <xdr:sp macro="" textlink="">
          <xdr:nvSpPr>
            <xdr:cNvPr id="19555" name="B_71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8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15</xdr:row>
          <xdr:rowOff>30480</xdr:rowOff>
        </xdr:from>
        <xdr:to>
          <xdr:col>10</xdr:col>
          <xdr:colOff>762000</xdr:colOff>
          <xdr:row>15</xdr:row>
          <xdr:rowOff>403860</xdr:rowOff>
        </xdr:to>
        <xdr:sp macro="" textlink="">
          <xdr:nvSpPr>
            <xdr:cNvPr id="19556" name="Group Box 100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8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15</xdr:row>
          <xdr:rowOff>121920</xdr:rowOff>
        </xdr:from>
        <xdr:to>
          <xdr:col>10</xdr:col>
          <xdr:colOff>594360</xdr:colOff>
          <xdr:row>15</xdr:row>
          <xdr:rowOff>304800</xdr:rowOff>
        </xdr:to>
        <xdr:sp macro="" textlink="">
          <xdr:nvSpPr>
            <xdr:cNvPr id="19557" name="B_72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8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16</xdr:row>
          <xdr:rowOff>137160</xdr:rowOff>
        </xdr:from>
        <xdr:to>
          <xdr:col>7</xdr:col>
          <xdr:colOff>632460</xdr:colOff>
          <xdr:row>16</xdr:row>
          <xdr:rowOff>304800</xdr:rowOff>
        </xdr:to>
        <xdr:sp macro="" textlink="">
          <xdr:nvSpPr>
            <xdr:cNvPr id="19558" name="B_77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8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16</xdr:row>
          <xdr:rowOff>114300</xdr:rowOff>
        </xdr:from>
        <xdr:to>
          <xdr:col>8</xdr:col>
          <xdr:colOff>723900</xdr:colOff>
          <xdr:row>16</xdr:row>
          <xdr:rowOff>312420</xdr:rowOff>
        </xdr:to>
        <xdr:sp macro="" textlink="">
          <xdr:nvSpPr>
            <xdr:cNvPr id="19559" name="B_78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8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16</xdr:row>
          <xdr:rowOff>114300</xdr:rowOff>
        </xdr:from>
        <xdr:to>
          <xdr:col>9</xdr:col>
          <xdr:colOff>594360</xdr:colOff>
          <xdr:row>16</xdr:row>
          <xdr:rowOff>327660</xdr:rowOff>
        </xdr:to>
        <xdr:sp macro="" textlink="">
          <xdr:nvSpPr>
            <xdr:cNvPr id="19560" name="B_79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08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16</xdr:row>
          <xdr:rowOff>38100</xdr:rowOff>
        </xdr:from>
        <xdr:to>
          <xdr:col>10</xdr:col>
          <xdr:colOff>762000</xdr:colOff>
          <xdr:row>16</xdr:row>
          <xdr:rowOff>411480</xdr:rowOff>
        </xdr:to>
        <xdr:sp macro="" textlink="">
          <xdr:nvSpPr>
            <xdr:cNvPr id="19561" name="Group Box 105" hidden="1">
              <a:extLst>
                <a:ext uri="{63B3BB69-23CF-44E3-9099-C40C66FF867C}">
                  <a14:compatExt spid="_x0000_s19561"/>
                </a:ext>
                <a:ext uri="{FF2B5EF4-FFF2-40B4-BE49-F238E27FC236}">
                  <a16:creationId xmlns:a16="http://schemas.microsoft.com/office/drawing/2014/main" id="{00000000-0008-0000-0800-00006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365760</xdr:colOff>
          <xdr:row>16</xdr:row>
          <xdr:rowOff>137160</xdr:rowOff>
        </xdr:from>
        <xdr:to>
          <xdr:col>10</xdr:col>
          <xdr:colOff>594360</xdr:colOff>
          <xdr:row>16</xdr:row>
          <xdr:rowOff>312420</xdr:rowOff>
        </xdr:to>
        <xdr:sp macro="" textlink="">
          <xdr:nvSpPr>
            <xdr:cNvPr id="19562" name="B_80" hidden="1">
              <a:extLst>
                <a:ext uri="{63B3BB69-23CF-44E3-9099-C40C66FF867C}">
                  <a14:compatExt spid="_x0000_s19562"/>
                </a:ext>
                <a:ext uri="{FF2B5EF4-FFF2-40B4-BE49-F238E27FC236}">
                  <a16:creationId xmlns:a16="http://schemas.microsoft.com/office/drawing/2014/main" id="{00000000-0008-0000-0800-00006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19</xdr:row>
          <xdr:rowOff>99060</xdr:rowOff>
        </xdr:from>
        <xdr:to>
          <xdr:col>8</xdr:col>
          <xdr:colOff>388620</xdr:colOff>
          <xdr:row>19</xdr:row>
          <xdr:rowOff>304800</xdr:rowOff>
        </xdr:to>
        <xdr:sp macro="" textlink="">
          <xdr:nvSpPr>
            <xdr:cNvPr id="19563" name="B_81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00000000-0008-0000-0800-00006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693420</xdr:colOff>
          <xdr:row>19</xdr:row>
          <xdr:rowOff>99060</xdr:rowOff>
        </xdr:from>
        <xdr:to>
          <xdr:col>10</xdr:col>
          <xdr:colOff>441960</xdr:colOff>
          <xdr:row>19</xdr:row>
          <xdr:rowOff>297180</xdr:rowOff>
        </xdr:to>
        <xdr:sp macro="" textlink="">
          <xdr:nvSpPr>
            <xdr:cNvPr id="19564" name="B_82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00000000-0008-0000-0800-00006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411480</xdr:colOff>
          <xdr:row>19</xdr:row>
          <xdr:rowOff>38100</xdr:rowOff>
        </xdr:from>
        <xdr:to>
          <xdr:col>10</xdr:col>
          <xdr:colOff>495300</xdr:colOff>
          <xdr:row>19</xdr:row>
          <xdr:rowOff>365760</xdr:rowOff>
        </xdr:to>
        <xdr:sp macro="" textlink="">
          <xdr:nvSpPr>
            <xdr:cNvPr id="19565" name="Group Box 109" hidden="1">
              <a:extLst>
                <a:ext uri="{63B3BB69-23CF-44E3-9099-C40C66FF867C}">
                  <a14:compatExt spid="_x0000_s19565"/>
                </a:ext>
                <a:ext uri="{FF2B5EF4-FFF2-40B4-BE49-F238E27FC236}">
                  <a16:creationId xmlns:a16="http://schemas.microsoft.com/office/drawing/2014/main" id="{00000000-0008-0000-0800-00006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20</xdr:row>
          <xdr:rowOff>99060</xdr:rowOff>
        </xdr:from>
        <xdr:to>
          <xdr:col>8</xdr:col>
          <xdr:colOff>403860</xdr:colOff>
          <xdr:row>20</xdr:row>
          <xdr:rowOff>304800</xdr:rowOff>
        </xdr:to>
        <xdr:sp macro="" textlink="">
          <xdr:nvSpPr>
            <xdr:cNvPr id="19566" name="B_83" hidden="1">
              <a:extLst>
                <a:ext uri="{63B3BB69-23CF-44E3-9099-C40C66FF867C}">
                  <a14:compatExt spid="_x0000_s19566"/>
                </a:ext>
                <a:ext uri="{FF2B5EF4-FFF2-40B4-BE49-F238E27FC236}">
                  <a16:creationId xmlns:a16="http://schemas.microsoft.com/office/drawing/2014/main" id="{00000000-0008-0000-0800-00006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20</xdr:row>
          <xdr:rowOff>99060</xdr:rowOff>
        </xdr:from>
        <xdr:to>
          <xdr:col>10</xdr:col>
          <xdr:colOff>441960</xdr:colOff>
          <xdr:row>20</xdr:row>
          <xdr:rowOff>297180</xdr:rowOff>
        </xdr:to>
        <xdr:sp macro="" textlink="">
          <xdr:nvSpPr>
            <xdr:cNvPr id="19567" name="B_84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8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20</xdr:row>
          <xdr:rowOff>38100</xdr:rowOff>
        </xdr:from>
        <xdr:to>
          <xdr:col>10</xdr:col>
          <xdr:colOff>502920</xdr:colOff>
          <xdr:row>20</xdr:row>
          <xdr:rowOff>365760</xdr:rowOff>
        </xdr:to>
        <xdr:sp macro="" textlink="">
          <xdr:nvSpPr>
            <xdr:cNvPr id="19568" name="Group Box 112" hidden="1">
              <a:extLst>
                <a:ext uri="{63B3BB69-23CF-44E3-9099-C40C66FF867C}">
                  <a14:compatExt spid="_x0000_s19568"/>
                </a:ext>
                <a:ext uri="{FF2B5EF4-FFF2-40B4-BE49-F238E27FC236}">
                  <a16:creationId xmlns:a16="http://schemas.microsoft.com/office/drawing/2014/main" id="{00000000-0008-0000-0800-00007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769620</xdr:colOff>
          <xdr:row>21</xdr:row>
          <xdr:rowOff>99060</xdr:rowOff>
        </xdr:from>
        <xdr:to>
          <xdr:col>8</xdr:col>
          <xdr:colOff>403860</xdr:colOff>
          <xdr:row>21</xdr:row>
          <xdr:rowOff>312420</xdr:rowOff>
        </xdr:to>
        <xdr:sp macro="" textlink="">
          <xdr:nvSpPr>
            <xdr:cNvPr id="19569" name="B_85" hidden="1">
              <a:extLst>
                <a:ext uri="{63B3BB69-23CF-44E3-9099-C40C66FF867C}">
                  <a14:compatExt spid="_x0000_s19569"/>
                </a:ext>
                <a:ext uri="{FF2B5EF4-FFF2-40B4-BE49-F238E27FC236}">
                  <a16:creationId xmlns:a16="http://schemas.microsoft.com/office/drawing/2014/main" id="{00000000-0008-0000-0800-00007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21</xdr:row>
          <xdr:rowOff>99060</xdr:rowOff>
        </xdr:from>
        <xdr:to>
          <xdr:col>10</xdr:col>
          <xdr:colOff>441960</xdr:colOff>
          <xdr:row>21</xdr:row>
          <xdr:rowOff>297180</xdr:rowOff>
        </xdr:to>
        <xdr:sp macro="" textlink="">
          <xdr:nvSpPr>
            <xdr:cNvPr id="19570" name="B_86" hidden="1">
              <a:extLst>
                <a:ext uri="{63B3BB69-23CF-44E3-9099-C40C66FF867C}">
                  <a14:compatExt spid="_x0000_s19570"/>
                </a:ext>
                <a:ext uri="{FF2B5EF4-FFF2-40B4-BE49-F238E27FC236}">
                  <a16:creationId xmlns:a16="http://schemas.microsoft.com/office/drawing/2014/main" id="{00000000-0008-0000-0800-00007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21</xdr:row>
          <xdr:rowOff>30480</xdr:rowOff>
        </xdr:from>
        <xdr:to>
          <xdr:col>10</xdr:col>
          <xdr:colOff>502920</xdr:colOff>
          <xdr:row>21</xdr:row>
          <xdr:rowOff>342900</xdr:rowOff>
        </xdr:to>
        <xdr:sp macro="" textlink="">
          <xdr:nvSpPr>
            <xdr:cNvPr id="19571" name="Group Box 115" hidden="1">
              <a:extLst>
                <a:ext uri="{63B3BB69-23CF-44E3-9099-C40C66FF867C}">
                  <a14:compatExt spid="_x0000_s19571"/>
                </a:ext>
                <a:ext uri="{FF2B5EF4-FFF2-40B4-BE49-F238E27FC236}">
                  <a16:creationId xmlns:a16="http://schemas.microsoft.com/office/drawing/2014/main" id="{00000000-0008-0000-0800-00007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8</xdr:col>
          <xdr:colOff>403860</xdr:colOff>
          <xdr:row>22</xdr:row>
          <xdr:rowOff>327660</xdr:rowOff>
        </xdr:to>
        <xdr:sp macro="" textlink="">
          <xdr:nvSpPr>
            <xdr:cNvPr id="19575" name="B_87" hidden="1">
              <a:extLst>
                <a:ext uri="{63B3BB69-23CF-44E3-9099-C40C66FF867C}">
                  <a14:compatExt spid="_x0000_s19575"/>
                </a:ext>
                <a:ext uri="{FF2B5EF4-FFF2-40B4-BE49-F238E27FC236}">
                  <a16:creationId xmlns:a16="http://schemas.microsoft.com/office/drawing/2014/main" id="{00000000-0008-0000-0800-00007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114300</xdr:rowOff>
        </xdr:from>
        <xdr:to>
          <xdr:col>10</xdr:col>
          <xdr:colOff>449580</xdr:colOff>
          <xdr:row>22</xdr:row>
          <xdr:rowOff>312420</xdr:rowOff>
        </xdr:to>
        <xdr:sp macro="" textlink="">
          <xdr:nvSpPr>
            <xdr:cNvPr id="19576" name="B_88" hidden="1">
              <a:extLst>
                <a:ext uri="{63B3BB69-23CF-44E3-9099-C40C66FF867C}">
                  <a14:compatExt spid="_x0000_s19576"/>
                </a:ext>
                <a:ext uri="{FF2B5EF4-FFF2-40B4-BE49-F238E27FC236}">
                  <a16:creationId xmlns:a16="http://schemas.microsoft.com/office/drawing/2014/main" id="{00000000-0008-0000-0800-00007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22</xdr:row>
          <xdr:rowOff>45720</xdr:rowOff>
        </xdr:from>
        <xdr:to>
          <xdr:col>10</xdr:col>
          <xdr:colOff>518160</xdr:colOff>
          <xdr:row>22</xdr:row>
          <xdr:rowOff>381000</xdr:rowOff>
        </xdr:to>
        <xdr:sp macro="" textlink="">
          <xdr:nvSpPr>
            <xdr:cNvPr id="19577" name="Group Box 121" hidden="1">
              <a:extLst>
                <a:ext uri="{63B3BB69-23CF-44E3-9099-C40C66FF867C}">
                  <a14:compatExt spid="_x0000_s19577"/>
                </a:ext>
                <a:ext uri="{FF2B5EF4-FFF2-40B4-BE49-F238E27FC236}">
                  <a16:creationId xmlns:a16="http://schemas.microsoft.com/office/drawing/2014/main" id="{00000000-0008-0000-0800-00007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99060</xdr:rowOff>
        </xdr:from>
        <xdr:to>
          <xdr:col>8</xdr:col>
          <xdr:colOff>403860</xdr:colOff>
          <xdr:row>23</xdr:row>
          <xdr:rowOff>304800</xdr:rowOff>
        </xdr:to>
        <xdr:sp macro="" textlink="">
          <xdr:nvSpPr>
            <xdr:cNvPr id="19578" name="B_89" hidden="1">
              <a:extLst>
                <a:ext uri="{63B3BB69-23CF-44E3-9099-C40C66FF867C}">
                  <a14:compatExt spid="_x0000_s19578"/>
                </a:ext>
                <a:ext uri="{FF2B5EF4-FFF2-40B4-BE49-F238E27FC236}">
                  <a16:creationId xmlns:a16="http://schemas.microsoft.com/office/drawing/2014/main" id="{00000000-0008-0000-0800-00007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23</xdr:row>
          <xdr:rowOff>121920</xdr:rowOff>
        </xdr:from>
        <xdr:to>
          <xdr:col>10</xdr:col>
          <xdr:colOff>449580</xdr:colOff>
          <xdr:row>23</xdr:row>
          <xdr:rowOff>327660</xdr:rowOff>
        </xdr:to>
        <xdr:sp macro="" textlink="">
          <xdr:nvSpPr>
            <xdr:cNvPr id="19579" name="B_90" hidden="1">
              <a:extLst>
                <a:ext uri="{63B3BB69-23CF-44E3-9099-C40C66FF867C}">
                  <a14:compatExt spid="_x0000_s19579"/>
                </a:ext>
                <a:ext uri="{FF2B5EF4-FFF2-40B4-BE49-F238E27FC236}">
                  <a16:creationId xmlns:a16="http://schemas.microsoft.com/office/drawing/2014/main" id="{00000000-0008-0000-0800-00007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23</xdr:row>
          <xdr:rowOff>30480</xdr:rowOff>
        </xdr:from>
        <xdr:to>
          <xdr:col>10</xdr:col>
          <xdr:colOff>518160</xdr:colOff>
          <xdr:row>23</xdr:row>
          <xdr:rowOff>365760</xdr:rowOff>
        </xdr:to>
        <xdr:sp macro="" textlink="">
          <xdr:nvSpPr>
            <xdr:cNvPr id="19580" name="Group Box 124" hidden="1">
              <a:extLst>
                <a:ext uri="{63B3BB69-23CF-44E3-9099-C40C66FF867C}">
                  <a14:compatExt spid="_x0000_s19580"/>
                </a:ext>
                <a:ext uri="{FF2B5EF4-FFF2-40B4-BE49-F238E27FC236}">
                  <a16:creationId xmlns:a16="http://schemas.microsoft.com/office/drawing/2014/main" id="{00000000-0008-0000-0800-00007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24</xdr:row>
          <xdr:rowOff>99060</xdr:rowOff>
        </xdr:from>
        <xdr:to>
          <xdr:col>8</xdr:col>
          <xdr:colOff>403860</xdr:colOff>
          <xdr:row>24</xdr:row>
          <xdr:rowOff>304800</xdr:rowOff>
        </xdr:to>
        <xdr:sp macro="" textlink="">
          <xdr:nvSpPr>
            <xdr:cNvPr id="19584" name="B_91" hidden="1">
              <a:extLst>
                <a:ext uri="{63B3BB69-23CF-44E3-9099-C40C66FF867C}">
                  <a14:compatExt spid="_x0000_s19584"/>
                </a:ext>
                <a:ext uri="{FF2B5EF4-FFF2-40B4-BE49-F238E27FC236}">
                  <a16:creationId xmlns:a16="http://schemas.microsoft.com/office/drawing/2014/main" id="{00000000-0008-0000-0800-00008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24</xdr:row>
          <xdr:rowOff>99060</xdr:rowOff>
        </xdr:from>
        <xdr:to>
          <xdr:col>10</xdr:col>
          <xdr:colOff>449580</xdr:colOff>
          <xdr:row>24</xdr:row>
          <xdr:rowOff>297180</xdr:rowOff>
        </xdr:to>
        <xdr:sp macro="" textlink="">
          <xdr:nvSpPr>
            <xdr:cNvPr id="19585" name="B_92" hidden="1">
              <a:extLst>
                <a:ext uri="{63B3BB69-23CF-44E3-9099-C40C66FF867C}">
                  <a14:compatExt spid="_x0000_s19585"/>
                </a:ext>
                <a:ext uri="{FF2B5EF4-FFF2-40B4-BE49-F238E27FC236}">
                  <a16:creationId xmlns:a16="http://schemas.microsoft.com/office/drawing/2014/main" id="{00000000-0008-0000-0800-00008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24</xdr:row>
          <xdr:rowOff>30480</xdr:rowOff>
        </xdr:from>
        <xdr:to>
          <xdr:col>10</xdr:col>
          <xdr:colOff>518160</xdr:colOff>
          <xdr:row>24</xdr:row>
          <xdr:rowOff>365760</xdr:rowOff>
        </xdr:to>
        <xdr:sp macro="" textlink="">
          <xdr:nvSpPr>
            <xdr:cNvPr id="19586" name="Group Box 130" hidden="1">
              <a:extLst>
                <a:ext uri="{63B3BB69-23CF-44E3-9099-C40C66FF867C}">
                  <a14:compatExt spid="_x0000_s19586"/>
                </a:ext>
                <a:ext uri="{FF2B5EF4-FFF2-40B4-BE49-F238E27FC236}">
                  <a16:creationId xmlns:a16="http://schemas.microsoft.com/office/drawing/2014/main" id="{00000000-0008-0000-0800-00008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792480</xdr:colOff>
          <xdr:row>25</xdr:row>
          <xdr:rowOff>160020</xdr:rowOff>
        </xdr:from>
        <xdr:to>
          <xdr:col>8</xdr:col>
          <xdr:colOff>403860</xdr:colOff>
          <xdr:row>25</xdr:row>
          <xdr:rowOff>373380</xdr:rowOff>
        </xdr:to>
        <xdr:sp macro="" textlink="">
          <xdr:nvSpPr>
            <xdr:cNvPr id="19587" name="B_93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8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25</xdr:row>
          <xdr:rowOff>160020</xdr:rowOff>
        </xdr:from>
        <xdr:to>
          <xdr:col>10</xdr:col>
          <xdr:colOff>449580</xdr:colOff>
          <xdr:row>25</xdr:row>
          <xdr:rowOff>365760</xdr:rowOff>
        </xdr:to>
        <xdr:sp macro="" textlink="">
          <xdr:nvSpPr>
            <xdr:cNvPr id="19588" name="B_94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8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25</xdr:row>
          <xdr:rowOff>99060</xdr:rowOff>
        </xdr:from>
        <xdr:to>
          <xdr:col>10</xdr:col>
          <xdr:colOff>518160</xdr:colOff>
          <xdr:row>25</xdr:row>
          <xdr:rowOff>441960</xdr:rowOff>
        </xdr:to>
        <xdr:sp macro="" textlink="">
          <xdr:nvSpPr>
            <xdr:cNvPr id="19589" name="Group Box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00000000-0008-0000-0800-00008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792480</xdr:colOff>
          <xdr:row>26</xdr:row>
          <xdr:rowOff>106680</xdr:rowOff>
        </xdr:from>
        <xdr:to>
          <xdr:col>8</xdr:col>
          <xdr:colOff>403860</xdr:colOff>
          <xdr:row>26</xdr:row>
          <xdr:rowOff>327660</xdr:rowOff>
        </xdr:to>
        <xdr:sp macro="" textlink="">
          <xdr:nvSpPr>
            <xdr:cNvPr id="19590" name="B_95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00000000-0008-0000-0800-00008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26</xdr:row>
          <xdr:rowOff>106680</xdr:rowOff>
        </xdr:from>
        <xdr:to>
          <xdr:col>10</xdr:col>
          <xdr:colOff>449580</xdr:colOff>
          <xdr:row>26</xdr:row>
          <xdr:rowOff>312420</xdr:rowOff>
        </xdr:to>
        <xdr:sp macro="" textlink="">
          <xdr:nvSpPr>
            <xdr:cNvPr id="19591" name="B_96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00000000-0008-0000-0800-00008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426720</xdr:colOff>
          <xdr:row>26</xdr:row>
          <xdr:rowOff>45720</xdr:rowOff>
        </xdr:from>
        <xdr:to>
          <xdr:col>10</xdr:col>
          <xdr:colOff>518160</xdr:colOff>
          <xdr:row>26</xdr:row>
          <xdr:rowOff>381000</xdr:rowOff>
        </xdr:to>
        <xdr:sp macro="" textlink="">
          <xdr:nvSpPr>
            <xdr:cNvPr id="19592" name="Group Box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00000000-0008-0000-0800-00008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T_FE1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410308</xdr:colOff>
      <xdr:row>27</xdr:row>
      <xdr:rowOff>139637</xdr:rowOff>
    </xdr:from>
    <xdr:to>
      <xdr:col>11</xdr:col>
      <xdr:colOff>30401</xdr:colOff>
      <xdr:row>28</xdr:row>
      <xdr:rowOff>157544</xdr:rowOff>
    </xdr:to>
    <xdr:sp macro="" textlink="">
      <xdr:nvSpPr>
        <xdr:cNvPr id="144" name="Flecha: a la derecha 1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SpPr/>
      </xdr:nvSpPr>
      <xdr:spPr>
        <a:xfrm>
          <a:off x="8836270" y="11379137"/>
          <a:ext cx="470016" cy="215734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27</xdr:row>
      <xdr:rowOff>139637</xdr:rowOff>
    </xdr:from>
    <xdr:to>
      <xdr:col>1</xdr:col>
      <xdr:colOff>439976</xdr:colOff>
      <xdr:row>28</xdr:row>
      <xdr:rowOff>157544</xdr:rowOff>
    </xdr:to>
    <xdr:sp macro="" textlink="">
      <xdr:nvSpPr>
        <xdr:cNvPr id="145" name="Flecha: a la derecha 1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SpPr/>
      </xdr:nvSpPr>
      <xdr:spPr>
        <a:xfrm flipH="1">
          <a:off x="1417320" y="11424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758607</xdr:colOff>
      <xdr:row>27</xdr:row>
      <xdr:rowOff>114300</xdr:rowOff>
    </xdr:from>
    <xdr:to>
      <xdr:col>4</xdr:col>
      <xdr:colOff>192822</xdr:colOff>
      <xdr:row>28</xdr:row>
      <xdr:rowOff>182880</xdr:rowOff>
    </xdr:to>
    <xdr:sp macro="[0]!CleanTrans.CleanTrans" textlink="">
      <xdr:nvSpPr>
        <xdr:cNvPr id="146" name="Rectángulo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SpPr/>
      </xdr:nvSpPr>
      <xdr:spPr>
        <a:xfrm>
          <a:off x="2907447" y="11399520"/>
          <a:ext cx="1019175" cy="25908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</a:t>
          </a:r>
          <a:r>
            <a:rPr lang="es-ES" sz="1000" baseline="0"/>
            <a:t> </a:t>
          </a:r>
          <a:r>
            <a:rPr lang="es-ES" sz="1000"/>
            <a:t>data</a:t>
          </a:r>
        </a:p>
      </xdr:txBody>
    </xdr:sp>
    <xdr:clientData/>
  </xdr:twoCellAnchor>
  <xdr:twoCellAnchor>
    <xdr:from>
      <xdr:col>0</xdr:col>
      <xdr:colOff>0</xdr:colOff>
      <xdr:row>5</xdr:row>
      <xdr:rowOff>152400</xdr:rowOff>
    </xdr:from>
    <xdr:to>
      <xdr:col>0</xdr:col>
      <xdr:colOff>1013459</xdr:colOff>
      <xdr:row>5</xdr:row>
      <xdr:rowOff>408550</xdr:rowOff>
    </xdr:to>
    <xdr:sp macro="" textlink="">
      <xdr:nvSpPr>
        <xdr:cNvPr id="149" name="Redondear rectángulo de esquina del mismo lado 1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Exposure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151" name="Redondear rectángulo de esquina del mismo lado 1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Company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297181</xdr:rowOff>
    </xdr:from>
    <xdr:to>
      <xdr:col>0</xdr:col>
      <xdr:colOff>1013459</xdr:colOff>
      <xdr:row>4</xdr:row>
      <xdr:rowOff>248533</xdr:rowOff>
    </xdr:to>
    <xdr:sp macro="" textlink="">
      <xdr:nvSpPr>
        <xdr:cNvPr id="152" name="Redondear rectángulo de esquina del mismo lado 1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3. Job</a:t>
          </a:r>
        </a:p>
      </xdr:txBody>
    </xdr:sp>
    <xdr:clientData/>
  </xdr:twoCellAnchor>
  <xdr:twoCellAnchor>
    <xdr:from>
      <xdr:col>0</xdr:col>
      <xdr:colOff>0</xdr:colOff>
      <xdr:row>4</xdr:row>
      <xdr:rowOff>236220</xdr:rowOff>
    </xdr:from>
    <xdr:to>
      <xdr:col>0</xdr:col>
      <xdr:colOff>1013459</xdr:colOff>
      <xdr:row>4</xdr:row>
      <xdr:rowOff>492370</xdr:rowOff>
    </xdr:to>
    <xdr:sp macro="" textlink="">
      <xdr:nvSpPr>
        <xdr:cNvPr id="153" name="Redondear rectángulo de esquina del mismo lado 1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Task</a:t>
          </a:r>
        </a:p>
      </xdr:txBody>
    </xdr:sp>
    <xdr:clientData/>
  </xdr:twoCellAnchor>
  <xdr:twoCellAnchor>
    <xdr:from>
      <xdr:col>0</xdr:col>
      <xdr:colOff>0</xdr:colOff>
      <xdr:row>4</xdr:row>
      <xdr:rowOff>480062</xdr:rowOff>
    </xdr:from>
    <xdr:to>
      <xdr:col>0</xdr:col>
      <xdr:colOff>1013459</xdr:colOff>
      <xdr:row>5</xdr:row>
      <xdr:rowOff>164712</xdr:rowOff>
    </xdr:to>
    <xdr:sp macro="" textlink="">
      <xdr:nvSpPr>
        <xdr:cNvPr id="154" name="Redondear rectángulo de esquina del mismo lado 1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396242</xdr:rowOff>
    </xdr:from>
    <xdr:to>
      <xdr:col>0</xdr:col>
      <xdr:colOff>1013459</xdr:colOff>
      <xdr:row>6</xdr:row>
      <xdr:rowOff>202812</xdr:rowOff>
    </xdr:to>
    <xdr:sp macro="" textlink="">
      <xdr:nvSpPr>
        <xdr:cNvPr id="155" name="Redondear rectángulo de esquina del mismo lado 1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Emission</a:t>
          </a:r>
        </a:p>
      </xdr:txBody>
    </xdr:sp>
    <xdr:clientData/>
  </xdr:twoCellAnchor>
  <xdr:twoCellAnchor>
    <xdr:from>
      <xdr:col>0</xdr:col>
      <xdr:colOff>0</xdr:colOff>
      <xdr:row>6</xdr:row>
      <xdr:rowOff>190500</xdr:rowOff>
    </xdr:from>
    <xdr:to>
      <xdr:col>0</xdr:col>
      <xdr:colOff>1013459</xdr:colOff>
      <xdr:row>6</xdr:row>
      <xdr:rowOff>446650</xdr:rowOff>
    </xdr:to>
    <xdr:sp macro="" textlink="">
      <xdr:nvSpPr>
        <xdr:cNvPr id="156" name="Redondear rectángulo de esquina del mismo lado 15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Deposition</a:t>
          </a:r>
        </a:p>
      </xdr:txBody>
    </xdr:sp>
    <xdr:clientData/>
  </xdr:twoCellAnchor>
  <xdr:twoCellAnchor>
    <xdr:from>
      <xdr:col>0</xdr:col>
      <xdr:colOff>0</xdr:colOff>
      <xdr:row>6</xdr:row>
      <xdr:rowOff>434342</xdr:rowOff>
    </xdr:from>
    <xdr:to>
      <xdr:col>0</xdr:col>
      <xdr:colOff>1013459</xdr:colOff>
      <xdr:row>7</xdr:row>
      <xdr:rowOff>218052</xdr:rowOff>
    </xdr:to>
    <xdr:sp macro="" textlink="">
      <xdr:nvSpPr>
        <xdr:cNvPr id="157" name="Redondear rectángulo de esquina del mismo lado 1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Transfer</a:t>
          </a:r>
        </a:p>
      </xdr:txBody>
    </xdr:sp>
    <xdr:clientData/>
  </xdr:twoCellAnchor>
  <xdr:twoCellAnchor>
    <xdr:from>
      <xdr:col>0</xdr:col>
      <xdr:colOff>0</xdr:colOff>
      <xdr:row>7</xdr:row>
      <xdr:rowOff>205744</xdr:rowOff>
    </xdr:from>
    <xdr:to>
      <xdr:col>0</xdr:col>
      <xdr:colOff>1013459</xdr:colOff>
      <xdr:row>7</xdr:row>
      <xdr:rowOff>461894</xdr:rowOff>
    </xdr:to>
    <xdr:sp macro="" textlink="">
      <xdr:nvSpPr>
        <xdr:cNvPr id="158" name="Redondear rectángulo de esquina del mismo lado 1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Gloves</a:t>
          </a:r>
        </a:p>
      </xdr:txBody>
    </xdr:sp>
    <xdr:clientData/>
  </xdr:twoCellAnchor>
  <xdr:twoCellAnchor>
    <xdr:from>
      <xdr:col>0</xdr:col>
      <xdr:colOff>0</xdr:colOff>
      <xdr:row>7</xdr:row>
      <xdr:rowOff>449582</xdr:rowOff>
    </xdr:from>
    <xdr:to>
      <xdr:col>0</xdr:col>
      <xdr:colOff>1013459</xdr:colOff>
      <xdr:row>8</xdr:row>
      <xdr:rowOff>210432</xdr:rowOff>
    </xdr:to>
    <xdr:sp macro="" textlink="">
      <xdr:nvSpPr>
        <xdr:cNvPr id="159" name="Redondear rectángulo de esquina del mismo lado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Clothes</a:t>
          </a: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4692</xdr:rowOff>
    </xdr:to>
    <xdr:sp macro="" textlink="">
      <xdr:nvSpPr>
        <xdr:cNvPr id="160" name="Redondear rectángulo de esquina del mismo lado 15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Department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213363</xdr:rowOff>
    </xdr:from>
    <xdr:to>
      <xdr:col>0</xdr:col>
      <xdr:colOff>1013459</xdr:colOff>
      <xdr:row>8</xdr:row>
      <xdr:rowOff>469513</xdr:rowOff>
    </xdr:to>
    <xdr:sp macro="" textlink="">
      <xdr:nvSpPr>
        <xdr:cNvPr id="161" name="Redondear rectángulo de esquina del mismo lado 16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266700</xdr:rowOff>
        </xdr:from>
        <xdr:to>
          <xdr:col>3</xdr:col>
          <xdr:colOff>1706880</xdr:colOff>
          <xdr:row>3</xdr:row>
          <xdr:rowOff>457200</xdr:rowOff>
        </xdr:to>
        <xdr:sp macro="" textlink="">
          <xdr:nvSpPr>
            <xdr:cNvPr id="27649" name="B_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gloves used [go to 11]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457200</xdr:rowOff>
        </xdr:from>
        <xdr:to>
          <xdr:col>3</xdr:col>
          <xdr:colOff>1897380</xdr:colOff>
          <xdr:row>3</xdr:row>
          <xdr:rowOff>647700</xdr:rowOff>
        </xdr:to>
        <xdr:sp macro="" textlink="">
          <xdr:nvSpPr>
            <xdr:cNvPr id="27650" name="B_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9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Woven gloves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647700</xdr:rowOff>
        </xdr:from>
        <xdr:to>
          <xdr:col>3</xdr:col>
          <xdr:colOff>2042160</xdr:colOff>
          <xdr:row>3</xdr:row>
          <xdr:rowOff>838200</xdr:rowOff>
        </xdr:to>
        <xdr:sp macro="" textlink="">
          <xdr:nvSpPr>
            <xdr:cNvPr id="27651" name="B_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9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Non-woven permeable (0,1)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838200</xdr:rowOff>
        </xdr:from>
        <xdr:to>
          <xdr:col>3</xdr:col>
          <xdr:colOff>2103120</xdr:colOff>
          <xdr:row>3</xdr:row>
          <xdr:rowOff>1021080</xdr:rowOff>
        </xdr:to>
        <xdr:sp macro="" textlink="">
          <xdr:nvSpPr>
            <xdr:cNvPr id="27652" name="B_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9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Non-woven impermeable (0,03)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99060</xdr:rowOff>
        </xdr:from>
        <xdr:to>
          <xdr:col>3</xdr:col>
          <xdr:colOff>2308860</xdr:colOff>
          <xdr:row>3</xdr:row>
          <xdr:rowOff>1127760</xdr:rowOff>
        </xdr:to>
        <xdr:sp macro="" textlink="">
          <xdr:nvSpPr>
            <xdr:cNvPr id="27653" name="Group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9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4</xdr:row>
          <xdr:rowOff>228600</xdr:rowOff>
        </xdr:from>
        <xdr:to>
          <xdr:col>3</xdr:col>
          <xdr:colOff>1203960</xdr:colOff>
          <xdr:row>4</xdr:row>
          <xdr:rowOff>441960</xdr:rowOff>
        </xdr:to>
        <xdr:sp macro="" textlink="">
          <xdr:nvSpPr>
            <xdr:cNvPr id="27668" name="B_5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9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4</xdr:row>
          <xdr:rowOff>419100</xdr:rowOff>
        </xdr:from>
        <xdr:to>
          <xdr:col>3</xdr:col>
          <xdr:colOff>1203960</xdr:colOff>
          <xdr:row>4</xdr:row>
          <xdr:rowOff>632460</xdr:rowOff>
        </xdr:to>
        <xdr:sp macro="" textlink="">
          <xdr:nvSpPr>
            <xdr:cNvPr id="27669" name="B_6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9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121920</xdr:rowOff>
        </xdr:from>
        <xdr:to>
          <xdr:col>3</xdr:col>
          <xdr:colOff>2286000</xdr:colOff>
          <xdr:row>4</xdr:row>
          <xdr:rowOff>655320</xdr:rowOff>
        </xdr:to>
        <xdr:sp macro="" textlink="">
          <xdr:nvSpPr>
            <xdr:cNvPr id="27670" name="Group Box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9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259080</xdr:rowOff>
        </xdr:from>
        <xdr:to>
          <xdr:col>3</xdr:col>
          <xdr:colOff>1684020</xdr:colOff>
          <xdr:row>5</xdr:row>
          <xdr:rowOff>426720</xdr:rowOff>
        </xdr:to>
        <xdr:sp macro="" textlink="">
          <xdr:nvSpPr>
            <xdr:cNvPr id="27671" name="B_7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9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&lt;25% of task duration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426720</xdr:rowOff>
        </xdr:from>
        <xdr:to>
          <xdr:col>3</xdr:col>
          <xdr:colOff>1630680</xdr:colOff>
          <xdr:row>5</xdr:row>
          <xdr:rowOff>609600</xdr:rowOff>
        </xdr:to>
        <xdr:sp macro="" textlink="">
          <xdr:nvSpPr>
            <xdr:cNvPr id="27672" name="B_8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9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25-99% of task duration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5</xdr:row>
          <xdr:rowOff>601980</xdr:rowOff>
        </xdr:from>
        <xdr:to>
          <xdr:col>3</xdr:col>
          <xdr:colOff>1684020</xdr:colOff>
          <xdr:row>5</xdr:row>
          <xdr:rowOff>800100</xdr:rowOff>
        </xdr:to>
        <xdr:sp macro="" textlink="">
          <xdr:nvSpPr>
            <xdr:cNvPr id="27673" name="B_9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9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100% of task duration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5</xdr:row>
          <xdr:rowOff>99060</xdr:rowOff>
        </xdr:from>
        <xdr:to>
          <xdr:col>3</xdr:col>
          <xdr:colOff>2270760</xdr:colOff>
          <xdr:row>5</xdr:row>
          <xdr:rowOff>914400</xdr:rowOff>
        </xdr:to>
        <xdr:sp macro="" textlink="">
          <xdr:nvSpPr>
            <xdr:cNvPr id="27674" name="Group Box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9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6</xdr:row>
          <xdr:rowOff>160020</xdr:rowOff>
        </xdr:from>
        <xdr:to>
          <xdr:col>3</xdr:col>
          <xdr:colOff>1600200</xdr:colOff>
          <xdr:row>6</xdr:row>
          <xdr:rowOff>350520</xdr:rowOff>
        </xdr:to>
        <xdr:sp macro="" textlink="">
          <xdr:nvSpPr>
            <xdr:cNvPr id="27679" name="B_10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9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After used once time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6</xdr:row>
          <xdr:rowOff>297180</xdr:rowOff>
        </xdr:from>
        <xdr:to>
          <xdr:col>3</xdr:col>
          <xdr:colOff>1181100</xdr:colOff>
          <xdr:row>6</xdr:row>
          <xdr:rowOff>525780</xdr:rowOff>
        </xdr:to>
        <xdr:sp macro="" textlink="">
          <xdr:nvSpPr>
            <xdr:cNvPr id="27680" name="B_11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9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6</xdr:row>
          <xdr:rowOff>480060</xdr:rowOff>
        </xdr:from>
        <xdr:to>
          <xdr:col>3</xdr:col>
          <xdr:colOff>1203960</xdr:colOff>
          <xdr:row>6</xdr:row>
          <xdr:rowOff>693420</xdr:rowOff>
        </xdr:to>
        <xdr:sp macro="" textlink="">
          <xdr:nvSpPr>
            <xdr:cNvPr id="27681" name="B_12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9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6</xdr:row>
          <xdr:rowOff>647700</xdr:rowOff>
        </xdr:from>
        <xdr:to>
          <xdr:col>3</xdr:col>
          <xdr:colOff>1203960</xdr:colOff>
          <xdr:row>6</xdr:row>
          <xdr:rowOff>861060</xdr:rowOff>
        </xdr:to>
        <xdr:sp macro="" textlink="">
          <xdr:nvSpPr>
            <xdr:cNvPr id="27682" name="B_13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9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Montly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6</xdr:row>
          <xdr:rowOff>76200</xdr:rowOff>
        </xdr:from>
        <xdr:to>
          <xdr:col>3</xdr:col>
          <xdr:colOff>2278380</xdr:colOff>
          <xdr:row>6</xdr:row>
          <xdr:rowOff>876300</xdr:rowOff>
        </xdr:to>
        <xdr:sp macro="" textlink="">
          <xdr:nvSpPr>
            <xdr:cNvPr id="27683" name="Group Box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9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7</xdr:row>
          <xdr:rowOff>220980</xdr:rowOff>
        </xdr:from>
        <xdr:to>
          <xdr:col>3</xdr:col>
          <xdr:colOff>1203960</xdr:colOff>
          <xdr:row>7</xdr:row>
          <xdr:rowOff>441960</xdr:rowOff>
        </xdr:to>
        <xdr:sp macro="" textlink="">
          <xdr:nvSpPr>
            <xdr:cNvPr id="27684" name="B_14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9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7</xdr:row>
          <xdr:rowOff>426720</xdr:rowOff>
        </xdr:from>
        <xdr:to>
          <xdr:col>3</xdr:col>
          <xdr:colOff>1203960</xdr:colOff>
          <xdr:row>7</xdr:row>
          <xdr:rowOff>632460</xdr:rowOff>
        </xdr:to>
        <xdr:sp macro="" textlink="">
          <xdr:nvSpPr>
            <xdr:cNvPr id="27685" name="B_15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9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7</xdr:row>
          <xdr:rowOff>45720</xdr:rowOff>
        </xdr:from>
        <xdr:to>
          <xdr:col>3</xdr:col>
          <xdr:colOff>2270760</xdr:colOff>
          <xdr:row>7</xdr:row>
          <xdr:rowOff>762000</xdr:rowOff>
        </xdr:to>
        <xdr:sp macro="" textlink="">
          <xdr:nvSpPr>
            <xdr:cNvPr id="27686" name="Group Box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9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8</xdr:row>
          <xdr:rowOff>152400</xdr:rowOff>
        </xdr:from>
        <xdr:to>
          <xdr:col>3</xdr:col>
          <xdr:colOff>1973580</xdr:colOff>
          <xdr:row>8</xdr:row>
          <xdr:rowOff>373380</xdr:rowOff>
        </xdr:to>
        <xdr:sp macro="" textlink="">
          <xdr:nvSpPr>
            <xdr:cNvPr id="27687" name="B_16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9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After 1 time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8</xdr:row>
          <xdr:rowOff>327660</xdr:rowOff>
        </xdr:from>
        <xdr:to>
          <xdr:col>3</xdr:col>
          <xdr:colOff>1973580</xdr:colOff>
          <xdr:row>8</xdr:row>
          <xdr:rowOff>541020</xdr:rowOff>
        </xdr:to>
        <xdr:sp macro="" textlink="">
          <xdr:nvSpPr>
            <xdr:cNvPr id="27688" name="B_17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9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8</xdr:row>
          <xdr:rowOff>502920</xdr:rowOff>
        </xdr:from>
        <xdr:to>
          <xdr:col>3</xdr:col>
          <xdr:colOff>1973580</xdr:colOff>
          <xdr:row>8</xdr:row>
          <xdr:rowOff>723900</xdr:rowOff>
        </xdr:to>
        <xdr:sp macro="" textlink="">
          <xdr:nvSpPr>
            <xdr:cNvPr id="27689" name="B_18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9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Weekly/montly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8</xdr:row>
          <xdr:rowOff>60960</xdr:rowOff>
        </xdr:from>
        <xdr:to>
          <xdr:col>3</xdr:col>
          <xdr:colOff>2270760</xdr:colOff>
          <xdr:row>8</xdr:row>
          <xdr:rowOff>800100</xdr:rowOff>
        </xdr:to>
        <xdr:sp macro="" textlink="">
          <xdr:nvSpPr>
            <xdr:cNvPr id="27690" name="Group Box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9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9</xdr:row>
          <xdr:rowOff>266700</xdr:rowOff>
        </xdr:from>
        <xdr:to>
          <xdr:col>3</xdr:col>
          <xdr:colOff>1203960</xdr:colOff>
          <xdr:row>9</xdr:row>
          <xdr:rowOff>487680</xdr:rowOff>
        </xdr:to>
        <xdr:sp macro="" textlink="">
          <xdr:nvSpPr>
            <xdr:cNvPr id="27691" name="B_19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9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9</xdr:row>
          <xdr:rowOff>487680</xdr:rowOff>
        </xdr:from>
        <xdr:to>
          <xdr:col>3</xdr:col>
          <xdr:colOff>1203960</xdr:colOff>
          <xdr:row>9</xdr:row>
          <xdr:rowOff>693420</xdr:rowOff>
        </xdr:to>
        <xdr:sp macro="" textlink="">
          <xdr:nvSpPr>
            <xdr:cNvPr id="27692" name="B_20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9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9</xdr:row>
          <xdr:rowOff>106680</xdr:rowOff>
        </xdr:from>
        <xdr:to>
          <xdr:col>3</xdr:col>
          <xdr:colOff>2255520</xdr:colOff>
          <xdr:row>9</xdr:row>
          <xdr:rowOff>822960</xdr:rowOff>
        </xdr:to>
        <xdr:sp macro="" textlink="">
          <xdr:nvSpPr>
            <xdr:cNvPr id="27693" name="Group Box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9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BC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10</xdr:row>
      <xdr:rowOff>139637</xdr:rowOff>
    </xdr:from>
    <xdr:to>
      <xdr:col>3</xdr:col>
      <xdr:colOff>2706926</xdr:colOff>
      <xdr:row>11</xdr:row>
      <xdr:rowOff>157544</xdr:rowOff>
    </xdr:to>
    <xdr:sp macro="" textlink="">
      <xdr:nvSpPr>
        <xdr:cNvPr id="60" name="Flecha: a la derecha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>
        <a:xfrm>
          <a:off x="6518910" y="7233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10</xdr:row>
      <xdr:rowOff>139637</xdr:rowOff>
    </xdr:from>
    <xdr:to>
      <xdr:col>1</xdr:col>
      <xdr:colOff>439976</xdr:colOff>
      <xdr:row>11</xdr:row>
      <xdr:rowOff>157544</xdr:rowOff>
    </xdr:to>
    <xdr:sp macro="" textlink="">
      <xdr:nvSpPr>
        <xdr:cNvPr id="61" name="Flecha: a la derecha 6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>
        <a:xfrm flipH="1">
          <a:off x="1417320" y="7233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124242</xdr:colOff>
      <xdr:row>10</xdr:row>
      <xdr:rowOff>110490</xdr:rowOff>
    </xdr:from>
    <xdr:to>
      <xdr:col>2</xdr:col>
      <xdr:colOff>1133892</xdr:colOff>
      <xdr:row>12</xdr:row>
      <xdr:rowOff>3810</xdr:rowOff>
    </xdr:to>
    <xdr:sp macro="[0]!CleanGuantes.CleanGuantes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>
        <a:xfrm>
          <a:off x="2273082" y="7204710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5</xdr:row>
      <xdr:rowOff>751453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0" y="371475"/>
          <a:ext cx="1009649" cy="2940298"/>
          <a:chOff x="0" y="365760"/>
          <a:chExt cx="1013459" cy="2946013"/>
        </a:xfrm>
      </xdr:grpSpPr>
      <xdr:sp macro="" textlink="">
        <xdr:nvSpPr>
          <xdr:cNvPr id="46" name="Redondear rectángulo de esquina del mismo lado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48" name="Redondear rectángulo de esquina del mismo lado 4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Company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49" name="Redondear rectángulo de esquina del mismo lado 4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31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Job</a:t>
              </a:r>
            </a:p>
          </xdr:txBody>
        </xdr:sp>
        <xdr:sp macro="" textlink="">
          <xdr:nvSpPr>
            <xdr:cNvPr id="50" name="Redondear rectángulo de esquina del mismo lado 4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32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Task</a:t>
              </a:r>
            </a:p>
          </xdr:txBody>
        </xdr:sp>
        <xdr:sp macro="" textlink="">
          <xdr:nvSpPr>
            <xdr:cNvPr id="51" name="Redondear rectángulo de esquina del mismo lado 5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33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2" name="Redondear rectángulo de esquina del mismo lado 5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34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Emission</a:t>
              </a:r>
            </a:p>
          </xdr:txBody>
        </xdr:sp>
        <xdr:sp macro="" textlink="">
          <xdr:nvSpPr>
            <xdr:cNvPr id="53" name="Redondear rectángulo de esquina del mismo lado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35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Deposition</a:t>
              </a:r>
            </a:p>
          </xdr:txBody>
        </xdr:sp>
        <xdr:sp macro="" textlink="">
          <xdr:nvSpPr>
            <xdr:cNvPr id="54" name="Redondear rectángulo de esquina del mismo lado 53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36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</a:t>
              </a:r>
            </a:p>
          </xdr:txBody>
        </xdr:sp>
        <xdr:sp macro="" textlink="">
          <xdr:nvSpPr>
            <xdr:cNvPr id="55" name="Redondear rectángulo de esquina del mismo lado 5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37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Gloves</a:t>
              </a:r>
            </a:p>
          </xdr:txBody>
        </xdr:sp>
        <xdr:sp macro="" textlink="">
          <xdr:nvSpPr>
            <xdr:cNvPr id="56" name="Redondear rectángulo de esquina del mismo lado 5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38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Clothes</a:t>
              </a:r>
            </a:p>
          </xdr:txBody>
        </xdr:sp>
        <xdr:sp macro="" textlink="">
          <xdr:nvSpPr>
            <xdr:cNvPr id="57" name="Redondear rectángulo de esquina del mismo lado 56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39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Department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8" name="Redondear rectángulo de esquina del mismo lado 5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3A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1676400</xdr:colOff>
          <xdr:row>4</xdr:row>
          <xdr:rowOff>220980</xdr:rowOff>
        </xdr:from>
        <xdr:to>
          <xdr:col>3</xdr:col>
          <xdr:colOff>2118360</xdr:colOff>
          <xdr:row>4</xdr:row>
          <xdr:rowOff>426720</xdr:rowOff>
        </xdr:to>
        <xdr:sp macro="" textlink="">
          <xdr:nvSpPr>
            <xdr:cNvPr id="27694" name="B_21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9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1684020</xdr:colOff>
          <xdr:row>5</xdr:row>
          <xdr:rowOff>259080</xdr:rowOff>
        </xdr:from>
        <xdr:to>
          <xdr:col>3</xdr:col>
          <xdr:colOff>2141220</xdr:colOff>
          <xdr:row>5</xdr:row>
          <xdr:rowOff>411480</xdr:rowOff>
        </xdr:to>
        <xdr:sp macro="" textlink="">
          <xdr:nvSpPr>
            <xdr:cNvPr id="27697" name="B_22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9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1684020</xdr:colOff>
          <xdr:row>6</xdr:row>
          <xdr:rowOff>175260</xdr:rowOff>
        </xdr:from>
        <xdr:to>
          <xdr:col>3</xdr:col>
          <xdr:colOff>2049780</xdr:colOff>
          <xdr:row>6</xdr:row>
          <xdr:rowOff>342900</xdr:rowOff>
        </xdr:to>
        <xdr:sp macro="" textlink="">
          <xdr:nvSpPr>
            <xdr:cNvPr id="27698" name="B_23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9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1684020</xdr:colOff>
          <xdr:row>7</xdr:row>
          <xdr:rowOff>220980</xdr:rowOff>
        </xdr:from>
        <xdr:to>
          <xdr:col>3</xdr:col>
          <xdr:colOff>2141220</xdr:colOff>
          <xdr:row>7</xdr:row>
          <xdr:rowOff>426720</xdr:rowOff>
        </xdr:to>
        <xdr:sp macro="" textlink="">
          <xdr:nvSpPr>
            <xdr:cNvPr id="27700" name="B_24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9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1706880</xdr:colOff>
          <xdr:row>8</xdr:row>
          <xdr:rowOff>152400</xdr:rowOff>
        </xdr:from>
        <xdr:to>
          <xdr:col>3</xdr:col>
          <xdr:colOff>2133600</xdr:colOff>
          <xdr:row>8</xdr:row>
          <xdr:rowOff>365760</xdr:rowOff>
        </xdr:to>
        <xdr:sp macro="" textlink="">
          <xdr:nvSpPr>
            <xdr:cNvPr id="27701" name="B_25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9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38100</xdr:rowOff>
        </xdr:from>
        <xdr:to>
          <xdr:col>3</xdr:col>
          <xdr:colOff>708660</xdr:colOff>
          <xdr:row>6</xdr:row>
          <xdr:rowOff>502920</xdr:rowOff>
        </xdr:to>
        <xdr:sp macro="" textlink="">
          <xdr:nvSpPr>
            <xdr:cNvPr id="44033" name="Group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6</xdr:row>
          <xdr:rowOff>76200</xdr:rowOff>
        </xdr:from>
        <xdr:to>
          <xdr:col>2</xdr:col>
          <xdr:colOff>541020</xdr:colOff>
          <xdr:row>6</xdr:row>
          <xdr:rowOff>350520</xdr:rowOff>
        </xdr:to>
        <xdr:sp macro="" textlink="">
          <xdr:nvSpPr>
            <xdr:cNvPr id="44034" name="B_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</xdr:row>
          <xdr:rowOff>121920</xdr:rowOff>
        </xdr:from>
        <xdr:to>
          <xdr:col>3</xdr:col>
          <xdr:colOff>525780</xdr:colOff>
          <xdr:row>6</xdr:row>
          <xdr:rowOff>350520</xdr:rowOff>
        </xdr:to>
        <xdr:sp macro="" textlink="">
          <xdr:nvSpPr>
            <xdr:cNvPr id="44037" name="B_2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7</xdr:row>
          <xdr:rowOff>45720</xdr:rowOff>
        </xdr:from>
        <xdr:to>
          <xdr:col>3</xdr:col>
          <xdr:colOff>708660</xdr:colOff>
          <xdr:row>7</xdr:row>
          <xdr:rowOff>464820</xdr:rowOff>
        </xdr:to>
        <xdr:sp macro="" textlink="">
          <xdr:nvSpPr>
            <xdr:cNvPr id="44038" name="Group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A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7</xdr:row>
          <xdr:rowOff>137160</xdr:rowOff>
        </xdr:from>
        <xdr:to>
          <xdr:col>2</xdr:col>
          <xdr:colOff>518160</xdr:colOff>
          <xdr:row>7</xdr:row>
          <xdr:rowOff>365760</xdr:rowOff>
        </xdr:to>
        <xdr:sp macro="" textlink="">
          <xdr:nvSpPr>
            <xdr:cNvPr id="44039" name="B_10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A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</xdr:row>
          <xdr:rowOff>175260</xdr:rowOff>
        </xdr:from>
        <xdr:to>
          <xdr:col>3</xdr:col>
          <xdr:colOff>525780</xdr:colOff>
          <xdr:row>7</xdr:row>
          <xdr:rowOff>365760</xdr:rowOff>
        </xdr:to>
        <xdr:sp macro="" textlink="">
          <xdr:nvSpPr>
            <xdr:cNvPr id="44040" name="B_11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A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8</xdr:row>
          <xdr:rowOff>38100</xdr:rowOff>
        </xdr:from>
        <xdr:to>
          <xdr:col>3</xdr:col>
          <xdr:colOff>708660</xdr:colOff>
          <xdr:row>8</xdr:row>
          <xdr:rowOff>457200</xdr:rowOff>
        </xdr:to>
        <xdr:sp macro="" textlink="">
          <xdr:nvSpPr>
            <xdr:cNvPr id="44041" name="Group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A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8</xdr:row>
          <xdr:rowOff>137160</xdr:rowOff>
        </xdr:from>
        <xdr:to>
          <xdr:col>2</xdr:col>
          <xdr:colOff>518160</xdr:colOff>
          <xdr:row>8</xdr:row>
          <xdr:rowOff>350520</xdr:rowOff>
        </xdr:to>
        <xdr:sp macro="" textlink="">
          <xdr:nvSpPr>
            <xdr:cNvPr id="44042" name="B_19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A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175260</xdr:rowOff>
        </xdr:from>
        <xdr:to>
          <xdr:col>3</xdr:col>
          <xdr:colOff>525780</xdr:colOff>
          <xdr:row>8</xdr:row>
          <xdr:rowOff>350520</xdr:rowOff>
        </xdr:to>
        <xdr:sp macro="" textlink="">
          <xdr:nvSpPr>
            <xdr:cNvPr id="44043" name="B_20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A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9</xdr:row>
          <xdr:rowOff>38100</xdr:rowOff>
        </xdr:from>
        <xdr:to>
          <xdr:col>3</xdr:col>
          <xdr:colOff>716280</xdr:colOff>
          <xdr:row>9</xdr:row>
          <xdr:rowOff>457200</xdr:rowOff>
        </xdr:to>
        <xdr:sp macro="" textlink="">
          <xdr:nvSpPr>
            <xdr:cNvPr id="44044" name="Group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A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9</xdr:row>
          <xdr:rowOff>137160</xdr:rowOff>
        </xdr:from>
        <xdr:to>
          <xdr:col>2</xdr:col>
          <xdr:colOff>518160</xdr:colOff>
          <xdr:row>9</xdr:row>
          <xdr:rowOff>350520</xdr:rowOff>
        </xdr:to>
        <xdr:sp macro="" textlink="">
          <xdr:nvSpPr>
            <xdr:cNvPr id="44045" name="B_28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A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9</xdr:row>
          <xdr:rowOff>175260</xdr:rowOff>
        </xdr:from>
        <xdr:to>
          <xdr:col>3</xdr:col>
          <xdr:colOff>533400</xdr:colOff>
          <xdr:row>9</xdr:row>
          <xdr:rowOff>350520</xdr:rowOff>
        </xdr:to>
        <xdr:sp macro="" textlink="">
          <xdr:nvSpPr>
            <xdr:cNvPr id="44046" name="B_29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A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10</xdr:row>
          <xdr:rowOff>38100</xdr:rowOff>
        </xdr:from>
        <xdr:to>
          <xdr:col>3</xdr:col>
          <xdr:colOff>723900</xdr:colOff>
          <xdr:row>10</xdr:row>
          <xdr:rowOff>457200</xdr:rowOff>
        </xdr:to>
        <xdr:sp macro="" textlink="">
          <xdr:nvSpPr>
            <xdr:cNvPr id="44047" name="Group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A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10</xdr:row>
          <xdr:rowOff>137160</xdr:rowOff>
        </xdr:from>
        <xdr:to>
          <xdr:col>2</xdr:col>
          <xdr:colOff>525780</xdr:colOff>
          <xdr:row>10</xdr:row>
          <xdr:rowOff>350520</xdr:rowOff>
        </xdr:to>
        <xdr:sp macro="" textlink="">
          <xdr:nvSpPr>
            <xdr:cNvPr id="44048" name="B_37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A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10</xdr:row>
          <xdr:rowOff>175260</xdr:rowOff>
        </xdr:from>
        <xdr:to>
          <xdr:col>3</xdr:col>
          <xdr:colOff>541020</xdr:colOff>
          <xdr:row>10</xdr:row>
          <xdr:rowOff>350520</xdr:rowOff>
        </xdr:to>
        <xdr:sp macro="" textlink="">
          <xdr:nvSpPr>
            <xdr:cNvPr id="44049" name="B_38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A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11</xdr:row>
          <xdr:rowOff>38100</xdr:rowOff>
        </xdr:from>
        <xdr:to>
          <xdr:col>3</xdr:col>
          <xdr:colOff>723900</xdr:colOff>
          <xdr:row>11</xdr:row>
          <xdr:rowOff>457200</xdr:rowOff>
        </xdr:to>
        <xdr:sp macro="" textlink="">
          <xdr:nvSpPr>
            <xdr:cNvPr id="44050" name="Group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A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11</xdr:row>
          <xdr:rowOff>137160</xdr:rowOff>
        </xdr:from>
        <xdr:to>
          <xdr:col>2</xdr:col>
          <xdr:colOff>525780</xdr:colOff>
          <xdr:row>11</xdr:row>
          <xdr:rowOff>350520</xdr:rowOff>
        </xdr:to>
        <xdr:sp macro="" textlink="">
          <xdr:nvSpPr>
            <xdr:cNvPr id="44051" name="B_46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A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11</xdr:row>
          <xdr:rowOff>175260</xdr:rowOff>
        </xdr:from>
        <xdr:to>
          <xdr:col>3</xdr:col>
          <xdr:colOff>541020</xdr:colOff>
          <xdr:row>11</xdr:row>
          <xdr:rowOff>350520</xdr:rowOff>
        </xdr:to>
        <xdr:sp macro="" textlink="">
          <xdr:nvSpPr>
            <xdr:cNvPr id="44052" name="B_47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A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12</xdr:row>
          <xdr:rowOff>38100</xdr:rowOff>
        </xdr:from>
        <xdr:to>
          <xdr:col>3</xdr:col>
          <xdr:colOff>716280</xdr:colOff>
          <xdr:row>12</xdr:row>
          <xdr:rowOff>457200</xdr:rowOff>
        </xdr:to>
        <xdr:sp macro="" textlink="">
          <xdr:nvSpPr>
            <xdr:cNvPr id="44053" name="Group Box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A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12</xdr:row>
          <xdr:rowOff>137160</xdr:rowOff>
        </xdr:from>
        <xdr:to>
          <xdr:col>2</xdr:col>
          <xdr:colOff>518160</xdr:colOff>
          <xdr:row>12</xdr:row>
          <xdr:rowOff>350520</xdr:rowOff>
        </xdr:to>
        <xdr:sp macro="" textlink="">
          <xdr:nvSpPr>
            <xdr:cNvPr id="44054" name="B_55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A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12</xdr:row>
          <xdr:rowOff>175260</xdr:rowOff>
        </xdr:from>
        <xdr:to>
          <xdr:col>3</xdr:col>
          <xdr:colOff>533400</xdr:colOff>
          <xdr:row>12</xdr:row>
          <xdr:rowOff>350520</xdr:rowOff>
        </xdr:to>
        <xdr:sp macro="" textlink="">
          <xdr:nvSpPr>
            <xdr:cNvPr id="44055" name="B_56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A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14</xdr:row>
          <xdr:rowOff>38100</xdr:rowOff>
        </xdr:from>
        <xdr:to>
          <xdr:col>3</xdr:col>
          <xdr:colOff>716280</xdr:colOff>
          <xdr:row>14</xdr:row>
          <xdr:rowOff>457200</xdr:rowOff>
        </xdr:to>
        <xdr:sp macro="" textlink="">
          <xdr:nvSpPr>
            <xdr:cNvPr id="44056" name="Group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A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14</xdr:row>
          <xdr:rowOff>137160</xdr:rowOff>
        </xdr:from>
        <xdr:to>
          <xdr:col>2</xdr:col>
          <xdr:colOff>518160</xdr:colOff>
          <xdr:row>14</xdr:row>
          <xdr:rowOff>350520</xdr:rowOff>
        </xdr:to>
        <xdr:sp macro="" textlink="">
          <xdr:nvSpPr>
            <xdr:cNvPr id="44057" name="B_64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A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14</xdr:row>
          <xdr:rowOff>175260</xdr:rowOff>
        </xdr:from>
        <xdr:to>
          <xdr:col>3</xdr:col>
          <xdr:colOff>533400</xdr:colOff>
          <xdr:row>14</xdr:row>
          <xdr:rowOff>350520</xdr:rowOff>
        </xdr:to>
        <xdr:sp macro="" textlink="">
          <xdr:nvSpPr>
            <xdr:cNvPr id="44058" name="B_65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A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121920</xdr:rowOff>
        </xdr:from>
        <xdr:to>
          <xdr:col>4</xdr:col>
          <xdr:colOff>525780</xdr:colOff>
          <xdr:row>6</xdr:row>
          <xdr:rowOff>350520</xdr:rowOff>
        </xdr:to>
        <xdr:sp macro="" textlink="">
          <xdr:nvSpPr>
            <xdr:cNvPr id="44059" name="B_3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A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6</xdr:row>
          <xdr:rowOff>99060</xdr:rowOff>
        </xdr:from>
        <xdr:to>
          <xdr:col>5</xdr:col>
          <xdr:colOff>594360</xdr:colOff>
          <xdr:row>6</xdr:row>
          <xdr:rowOff>350520</xdr:rowOff>
        </xdr:to>
        <xdr:sp macro="" textlink="">
          <xdr:nvSpPr>
            <xdr:cNvPr id="44060" name="B_4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A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68580</xdr:rowOff>
        </xdr:from>
        <xdr:to>
          <xdr:col>6</xdr:col>
          <xdr:colOff>594360</xdr:colOff>
          <xdr:row>6</xdr:row>
          <xdr:rowOff>350520</xdr:rowOff>
        </xdr:to>
        <xdr:sp macro="" textlink="">
          <xdr:nvSpPr>
            <xdr:cNvPr id="44061" name="B_5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A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6</xdr:row>
          <xdr:rowOff>45720</xdr:rowOff>
        </xdr:from>
        <xdr:to>
          <xdr:col>6</xdr:col>
          <xdr:colOff>723900</xdr:colOff>
          <xdr:row>6</xdr:row>
          <xdr:rowOff>502920</xdr:rowOff>
        </xdr:to>
        <xdr:sp macro="" textlink="">
          <xdr:nvSpPr>
            <xdr:cNvPr id="44062" name="Group Box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A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7</xdr:row>
          <xdr:rowOff>175260</xdr:rowOff>
        </xdr:from>
        <xdr:to>
          <xdr:col>4</xdr:col>
          <xdr:colOff>487680</xdr:colOff>
          <xdr:row>7</xdr:row>
          <xdr:rowOff>365760</xdr:rowOff>
        </xdr:to>
        <xdr:sp macro="" textlink="">
          <xdr:nvSpPr>
            <xdr:cNvPr id="44063" name="B_12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A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7</xdr:row>
          <xdr:rowOff>175260</xdr:rowOff>
        </xdr:from>
        <xdr:to>
          <xdr:col>5</xdr:col>
          <xdr:colOff>571500</xdr:colOff>
          <xdr:row>7</xdr:row>
          <xdr:rowOff>365760</xdr:rowOff>
        </xdr:to>
        <xdr:sp macro="" textlink="">
          <xdr:nvSpPr>
            <xdr:cNvPr id="44064" name="B_13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A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175260</xdr:rowOff>
        </xdr:from>
        <xdr:to>
          <xdr:col>6</xdr:col>
          <xdr:colOff>525780</xdr:colOff>
          <xdr:row>7</xdr:row>
          <xdr:rowOff>365760</xdr:rowOff>
        </xdr:to>
        <xdr:sp macro="" textlink="">
          <xdr:nvSpPr>
            <xdr:cNvPr id="44065" name="B_14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A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7</xdr:row>
          <xdr:rowOff>60960</xdr:rowOff>
        </xdr:from>
        <xdr:to>
          <xdr:col>6</xdr:col>
          <xdr:colOff>723900</xdr:colOff>
          <xdr:row>7</xdr:row>
          <xdr:rowOff>457200</xdr:rowOff>
        </xdr:to>
        <xdr:sp macro="" textlink="">
          <xdr:nvSpPr>
            <xdr:cNvPr id="44066" name="Group Box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A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8</xdr:row>
          <xdr:rowOff>175260</xdr:rowOff>
        </xdr:from>
        <xdr:to>
          <xdr:col>4</xdr:col>
          <xdr:colOff>487680</xdr:colOff>
          <xdr:row>8</xdr:row>
          <xdr:rowOff>365760</xdr:rowOff>
        </xdr:to>
        <xdr:sp macro="" textlink="">
          <xdr:nvSpPr>
            <xdr:cNvPr id="44067" name="B_21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A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8</xdr:row>
          <xdr:rowOff>175260</xdr:rowOff>
        </xdr:from>
        <xdr:to>
          <xdr:col>5</xdr:col>
          <xdr:colOff>571500</xdr:colOff>
          <xdr:row>8</xdr:row>
          <xdr:rowOff>365760</xdr:rowOff>
        </xdr:to>
        <xdr:sp macro="" textlink="">
          <xdr:nvSpPr>
            <xdr:cNvPr id="44068" name="B_22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A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175260</xdr:rowOff>
        </xdr:from>
        <xdr:to>
          <xdr:col>6</xdr:col>
          <xdr:colOff>525780</xdr:colOff>
          <xdr:row>8</xdr:row>
          <xdr:rowOff>365760</xdr:rowOff>
        </xdr:to>
        <xdr:sp macro="" textlink="">
          <xdr:nvSpPr>
            <xdr:cNvPr id="44069" name="B_23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A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8</xdr:row>
          <xdr:rowOff>60960</xdr:rowOff>
        </xdr:from>
        <xdr:to>
          <xdr:col>6</xdr:col>
          <xdr:colOff>723900</xdr:colOff>
          <xdr:row>8</xdr:row>
          <xdr:rowOff>457200</xdr:rowOff>
        </xdr:to>
        <xdr:sp macro="" textlink="">
          <xdr:nvSpPr>
            <xdr:cNvPr id="44070" name="Group Box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A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9</xdr:row>
          <xdr:rowOff>175260</xdr:rowOff>
        </xdr:from>
        <xdr:to>
          <xdr:col>4</xdr:col>
          <xdr:colOff>487680</xdr:colOff>
          <xdr:row>9</xdr:row>
          <xdr:rowOff>365760</xdr:rowOff>
        </xdr:to>
        <xdr:sp macro="" textlink="">
          <xdr:nvSpPr>
            <xdr:cNvPr id="44071" name="B_30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A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9</xdr:row>
          <xdr:rowOff>175260</xdr:rowOff>
        </xdr:from>
        <xdr:to>
          <xdr:col>5</xdr:col>
          <xdr:colOff>571500</xdr:colOff>
          <xdr:row>9</xdr:row>
          <xdr:rowOff>365760</xdr:rowOff>
        </xdr:to>
        <xdr:sp macro="" textlink="">
          <xdr:nvSpPr>
            <xdr:cNvPr id="44072" name="B_31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A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175260</xdr:rowOff>
        </xdr:from>
        <xdr:to>
          <xdr:col>6</xdr:col>
          <xdr:colOff>525780</xdr:colOff>
          <xdr:row>9</xdr:row>
          <xdr:rowOff>365760</xdr:rowOff>
        </xdr:to>
        <xdr:sp macro="" textlink="">
          <xdr:nvSpPr>
            <xdr:cNvPr id="44073" name="B_32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A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9</xdr:row>
          <xdr:rowOff>60960</xdr:rowOff>
        </xdr:from>
        <xdr:to>
          <xdr:col>6</xdr:col>
          <xdr:colOff>723900</xdr:colOff>
          <xdr:row>9</xdr:row>
          <xdr:rowOff>457200</xdr:rowOff>
        </xdr:to>
        <xdr:sp macro="" textlink="">
          <xdr:nvSpPr>
            <xdr:cNvPr id="44074" name="Group Box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A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10</xdr:row>
          <xdr:rowOff>175260</xdr:rowOff>
        </xdr:from>
        <xdr:to>
          <xdr:col>4</xdr:col>
          <xdr:colOff>487680</xdr:colOff>
          <xdr:row>10</xdr:row>
          <xdr:rowOff>365760</xdr:rowOff>
        </xdr:to>
        <xdr:sp macro="" textlink="">
          <xdr:nvSpPr>
            <xdr:cNvPr id="44075" name="B_39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A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10</xdr:row>
          <xdr:rowOff>175260</xdr:rowOff>
        </xdr:from>
        <xdr:to>
          <xdr:col>5</xdr:col>
          <xdr:colOff>571500</xdr:colOff>
          <xdr:row>10</xdr:row>
          <xdr:rowOff>365760</xdr:rowOff>
        </xdr:to>
        <xdr:sp macro="" textlink="">
          <xdr:nvSpPr>
            <xdr:cNvPr id="44076" name="B_40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A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175260</xdr:rowOff>
        </xdr:from>
        <xdr:to>
          <xdr:col>6</xdr:col>
          <xdr:colOff>525780</xdr:colOff>
          <xdr:row>10</xdr:row>
          <xdr:rowOff>365760</xdr:rowOff>
        </xdr:to>
        <xdr:sp macro="" textlink="">
          <xdr:nvSpPr>
            <xdr:cNvPr id="44077" name="B_41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A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10</xdr:row>
          <xdr:rowOff>60960</xdr:rowOff>
        </xdr:from>
        <xdr:to>
          <xdr:col>6</xdr:col>
          <xdr:colOff>723900</xdr:colOff>
          <xdr:row>10</xdr:row>
          <xdr:rowOff>457200</xdr:rowOff>
        </xdr:to>
        <xdr:sp macro="" textlink="">
          <xdr:nvSpPr>
            <xdr:cNvPr id="44078" name="Group Box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A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11</xdr:row>
          <xdr:rowOff>175260</xdr:rowOff>
        </xdr:from>
        <xdr:to>
          <xdr:col>4</xdr:col>
          <xdr:colOff>487680</xdr:colOff>
          <xdr:row>11</xdr:row>
          <xdr:rowOff>365760</xdr:rowOff>
        </xdr:to>
        <xdr:sp macro="" textlink="">
          <xdr:nvSpPr>
            <xdr:cNvPr id="44079" name="B_48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A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11</xdr:row>
          <xdr:rowOff>175260</xdr:rowOff>
        </xdr:from>
        <xdr:to>
          <xdr:col>5</xdr:col>
          <xdr:colOff>571500</xdr:colOff>
          <xdr:row>11</xdr:row>
          <xdr:rowOff>365760</xdr:rowOff>
        </xdr:to>
        <xdr:sp macro="" textlink="">
          <xdr:nvSpPr>
            <xdr:cNvPr id="44080" name="B_49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A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175260</xdr:rowOff>
        </xdr:from>
        <xdr:to>
          <xdr:col>6</xdr:col>
          <xdr:colOff>525780</xdr:colOff>
          <xdr:row>11</xdr:row>
          <xdr:rowOff>365760</xdr:rowOff>
        </xdr:to>
        <xdr:sp macro="" textlink="">
          <xdr:nvSpPr>
            <xdr:cNvPr id="44081" name="B_50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A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11</xdr:row>
          <xdr:rowOff>60960</xdr:rowOff>
        </xdr:from>
        <xdr:to>
          <xdr:col>6</xdr:col>
          <xdr:colOff>723900</xdr:colOff>
          <xdr:row>11</xdr:row>
          <xdr:rowOff>457200</xdr:rowOff>
        </xdr:to>
        <xdr:sp macro="" textlink="">
          <xdr:nvSpPr>
            <xdr:cNvPr id="44082" name="Group Box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A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12</xdr:row>
          <xdr:rowOff>175260</xdr:rowOff>
        </xdr:from>
        <xdr:to>
          <xdr:col>4</xdr:col>
          <xdr:colOff>487680</xdr:colOff>
          <xdr:row>12</xdr:row>
          <xdr:rowOff>365760</xdr:rowOff>
        </xdr:to>
        <xdr:sp macro="" textlink="">
          <xdr:nvSpPr>
            <xdr:cNvPr id="44083" name="B_57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A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12</xdr:row>
          <xdr:rowOff>175260</xdr:rowOff>
        </xdr:from>
        <xdr:to>
          <xdr:col>5</xdr:col>
          <xdr:colOff>571500</xdr:colOff>
          <xdr:row>12</xdr:row>
          <xdr:rowOff>365760</xdr:rowOff>
        </xdr:to>
        <xdr:sp macro="" textlink="">
          <xdr:nvSpPr>
            <xdr:cNvPr id="44084" name="B_58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A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175260</xdr:rowOff>
        </xdr:from>
        <xdr:to>
          <xdr:col>6</xdr:col>
          <xdr:colOff>525780</xdr:colOff>
          <xdr:row>12</xdr:row>
          <xdr:rowOff>365760</xdr:rowOff>
        </xdr:to>
        <xdr:sp macro="" textlink="">
          <xdr:nvSpPr>
            <xdr:cNvPr id="44085" name="B_59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A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12</xdr:row>
          <xdr:rowOff>60960</xdr:rowOff>
        </xdr:from>
        <xdr:to>
          <xdr:col>6</xdr:col>
          <xdr:colOff>723900</xdr:colOff>
          <xdr:row>12</xdr:row>
          <xdr:rowOff>457200</xdr:rowOff>
        </xdr:to>
        <xdr:sp macro="" textlink="">
          <xdr:nvSpPr>
            <xdr:cNvPr id="44086" name="Group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A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6</xdr:row>
          <xdr:rowOff>106680</xdr:rowOff>
        </xdr:from>
        <xdr:to>
          <xdr:col>7</xdr:col>
          <xdr:colOff>502920</xdr:colOff>
          <xdr:row>6</xdr:row>
          <xdr:rowOff>373380</xdr:rowOff>
        </xdr:to>
        <xdr:sp macro="" textlink="">
          <xdr:nvSpPr>
            <xdr:cNvPr id="44087" name="B_6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A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6</xdr:row>
          <xdr:rowOff>99060</xdr:rowOff>
        </xdr:from>
        <xdr:to>
          <xdr:col>8</xdr:col>
          <xdr:colOff>594360</xdr:colOff>
          <xdr:row>6</xdr:row>
          <xdr:rowOff>373380</xdr:rowOff>
        </xdr:to>
        <xdr:sp macro="" textlink="">
          <xdr:nvSpPr>
            <xdr:cNvPr id="44088" name="B_7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A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6</xdr:row>
          <xdr:rowOff>121920</xdr:rowOff>
        </xdr:from>
        <xdr:to>
          <xdr:col>9</xdr:col>
          <xdr:colOff>502920</xdr:colOff>
          <xdr:row>6</xdr:row>
          <xdr:rowOff>373380</xdr:rowOff>
        </xdr:to>
        <xdr:sp macro="" textlink="">
          <xdr:nvSpPr>
            <xdr:cNvPr id="44089" name="B_8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A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6</xdr:row>
          <xdr:rowOff>137160</xdr:rowOff>
        </xdr:from>
        <xdr:to>
          <xdr:col>10</xdr:col>
          <xdr:colOff>502920</xdr:colOff>
          <xdr:row>6</xdr:row>
          <xdr:rowOff>373380</xdr:rowOff>
        </xdr:to>
        <xdr:sp macro="" textlink="">
          <xdr:nvSpPr>
            <xdr:cNvPr id="44090" name="B_9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A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6</xdr:row>
          <xdr:rowOff>45720</xdr:rowOff>
        </xdr:from>
        <xdr:to>
          <xdr:col>10</xdr:col>
          <xdr:colOff>678180</xdr:colOff>
          <xdr:row>6</xdr:row>
          <xdr:rowOff>502920</xdr:rowOff>
        </xdr:to>
        <xdr:sp macro="" textlink="">
          <xdr:nvSpPr>
            <xdr:cNvPr id="44091" name="Group Box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A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7</xdr:row>
          <xdr:rowOff>175260</xdr:rowOff>
        </xdr:from>
        <xdr:to>
          <xdr:col>7</xdr:col>
          <xdr:colOff>487680</xdr:colOff>
          <xdr:row>7</xdr:row>
          <xdr:rowOff>373380</xdr:rowOff>
        </xdr:to>
        <xdr:sp macro="" textlink="">
          <xdr:nvSpPr>
            <xdr:cNvPr id="44092" name="B_15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A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7</xdr:row>
          <xdr:rowOff>175260</xdr:rowOff>
        </xdr:from>
        <xdr:to>
          <xdr:col>8</xdr:col>
          <xdr:colOff>487680</xdr:colOff>
          <xdr:row>7</xdr:row>
          <xdr:rowOff>373380</xdr:rowOff>
        </xdr:to>
        <xdr:sp macro="" textlink="">
          <xdr:nvSpPr>
            <xdr:cNvPr id="44093" name="B_16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A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7</xdr:row>
          <xdr:rowOff>175260</xdr:rowOff>
        </xdr:from>
        <xdr:to>
          <xdr:col>9</xdr:col>
          <xdr:colOff>495300</xdr:colOff>
          <xdr:row>7</xdr:row>
          <xdr:rowOff>373380</xdr:rowOff>
        </xdr:to>
        <xdr:sp macro="" textlink="">
          <xdr:nvSpPr>
            <xdr:cNvPr id="44094" name="B_17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A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7</xdr:row>
          <xdr:rowOff>175260</xdr:rowOff>
        </xdr:from>
        <xdr:to>
          <xdr:col>10</xdr:col>
          <xdr:colOff>495300</xdr:colOff>
          <xdr:row>7</xdr:row>
          <xdr:rowOff>373380</xdr:rowOff>
        </xdr:to>
        <xdr:sp macro="" textlink="">
          <xdr:nvSpPr>
            <xdr:cNvPr id="44095" name="B_18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A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7</xdr:row>
          <xdr:rowOff>45720</xdr:rowOff>
        </xdr:from>
        <xdr:to>
          <xdr:col>10</xdr:col>
          <xdr:colOff>678180</xdr:colOff>
          <xdr:row>7</xdr:row>
          <xdr:rowOff>449580</xdr:rowOff>
        </xdr:to>
        <xdr:sp macro="" textlink="">
          <xdr:nvSpPr>
            <xdr:cNvPr id="44096" name="Group Box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A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8</xdr:row>
          <xdr:rowOff>175260</xdr:rowOff>
        </xdr:from>
        <xdr:to>
          <xdr:col>7</xdr:col>
          <xdr:colOff>487680</xdr:colOff>
          <xdr:row>8</xdr:row>
          <xdr:rowOff>373380</xdr:rowOff>
        </xdr:to>
        <xdr:sp macro="" textlink="">
          <xdr:nvSpPr>
            <xdr:cNvPr id="44097" name="B_24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A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8</xdr:row>
          <xdr:rowOff>175260</xdr:rowOff>
        </xdr:from>
        <xdr:to>
          <xdr:col>8</xdr:col>
          <xdr:colOff>487680</xdr:colOff>
          <xdr:row>8</xdr:row>
          <xdr:rowOff>373380</xdr:rowOff>
        </xdr:to>
        <xdr:sp macro="" textlink="">
          <xdr:nvSpPr>
            <xdr:cNvPr id="44098" name="B_25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A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8</xdr:row>
          <xdr:rowOff>175260</xdr:rowOff>
        </xdr:from>
        <xdr:to>
          <xdr:col>9</xdr:col>
          <xdr:colOff>495300</xdr:colOff>
          <xdr:row>8</xdr:row>
          <xdr:rowOff>373380</xdr:rowOff>
        </xdr:to>
        <xdr:sp macro="" textlink="">
          <xdr:nvSpPr>
            <xdr:cNvPr id="44099" name="B_26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A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8</xdr:row>
          <xdr:rowOff>175260</xdr:rowOff>
        </xdr:from>
        <xdr:to>
          <xdr:col>10</xdr:col>
          <xdr:colOff>495300</xdr:colOff>
          <xdr:row>8</xdr:row>
          <xdr:rowOff>373380</xdr:rowOff>
        </xdr:to>
        <xdr:sp macro="" textlink="">
          <xdr:nvSpPr>
            <xdr:cNvPr id="44100" name="B_27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A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8</xdr:row>
          <xdr:rowOff>45720</xdr:rowOff>
        </xdr:from>
        <xdr:to>
          <xdr:col>10</xdr:col>
          <xdr:colOff>678180</xdr:colOff>
          <xdr:row>8</xdr:row>
          <xdr:rowOff>449580</xdr:rowOff>
        </xdr:to>
        <xdr:sp macro="" textlink="">
          <xdr:nvSpPr>
            <xdr:cNvPr id="44101" name="Group Box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A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9</xdr:row>
          <xdr:rowOff>175260</xdr:rowOff>
        </xdr:from>
        <xdr:to>
          <xdr:col>7</xdr:col>
          <xdr:colOff>487680</xdr:colOff>
          <xdr:row>9</xdr:row>
          <xdr:rowOff>373380</xdr:rowOff>
        </xdr:to>
        <xdr:sp macro="" textlink="">
          <xdr:nvSpPr>
            <xdr:cNvPr id="44107" name="B_33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A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9</xdr:row>
          <xdr:rowOff>175260</xdr:rowOff>
        </xdr:from>
        <xdr:to>
          <xdr:col>8</xdr:col>
          <xdr:colOff>487680</xdr:colOff>
          <xdr:row>9</xdr:row>
          <xdr:rowOff>373380</xdr:rowOff>
        </xdr:to>
        <xdr:sp macro="" textlink="">
          <xdr:nvSpPr>
            <xdr:cNvPr id="44108" name="B_34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A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9</xdr:row>
          <xdr:rowOff>175260</xdr:rowOff>
        </xdr:from>
        <xdr:to>
          <xdr:col>9</xdr:col>
          <xdr:colOff>495300</xdr:colOff>
          <xdr:row>9</xdr:row>
          <xdr:rowOff>373380</xdr:rowOff>
        </xdr:to>
        <xdr:sp macro="" textlink="">
          <xdr:nvSpPr>
            <xdr:cNvPr id="44109" name="B_35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A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9</xdr:row>
          <xdr:rowOff>175260</xdr:rowOff>
        </xdr:from>
        <xdr:to>
          <xdr:col>10</xdr:col>
          <xdr:colOff>495300</xdr:colOff>
          <xdr:row>9</xdr:row>
          <xdr:rowOff>373380</xdr:rowOff>
        </xdr:to>
        <xdr:sp macro="" textlink="">
          <xdr:nvSpPr>
            <xdr:cNvPr id="44110" name="B_36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A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9</xdr:row>
          <xdr:rowOff>45720</xdr:rowOff>
        </xdr:from>
        <xdr:to>
          <xdr:col>10</xdr:col>
          <xdr:colOff>678180</xdr:colOff>
          <xdr:row>9</xdr:row>
          <xdr:rowOff>449580</xdr:rowOff>
        </xdr:to>
        <xdr:sp macro="" textlink="">
          <xdr:nvSpPr>
            <xdr:cNvPr id="44111" name="Group Box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A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10</xdr:row>
          <xdr:rowOff>175260</xdr:rowOff>
        </xdr:from>
        <xdr:to>
          <xdr:col>7</xdr:col>
          <xdr:colOff>487680</xdr:colOff>
          <xdr:row>10</xdr:row>
          <xdr:rowOff>373380</xdr:rowOff>
        </xdr:to>
        <xdr:sp macro="" textlink="">
          <xdr:nvSpPr>
            <xdr:cNvPr id="44112" name="B_42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A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10</xdr:row>
          <xdr:rowOff>175260</xdr:rowOff>
        </xdr:from>
        <xdr:to>
          <xdr:col>8</xdr:col>
          <xdr:colOff>487680</xdr:colOff>
          <xdr:row>10</xdr:row>
          <xdr:rowOff>373380</xdr:rowOff>
        </xdr:to>
        <xdr:sp macro="" textlink="">
          <xdr:nvSpPr>
            <xdr:cNvPr id="44113" name="B_43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A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10</xdr:row>
          <xdr:rowOff>175260</xdr:rowOff>
        </xdr:from>
        <xdr:to>
          <xdr:col>9</xdr:col>
          <xdr:colOff>495300</xdr:colOff>
          <xdr:row>10</xdr:row>
          <xdr:rowOff>373380</xdr:rowOff>
        </xdr:to>
        <xdr:sp macro="" textlink="">
          <xdr:nvSpPr>
            <xdr:cNvPr id="44114" name="B_44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A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10</xdr:row>
          <xdr:rowOff>175260</xdr:rowOff>
        </xdr:from>
        <xdr:to>
          <xdr:col>10</xdr:col>
          <xdr:colOff>495300</xdr:colOff>
          <xdr:row>10</xdr:row>
          <xdr:rowOff>373380</xdr:rowOff>
        </xdr:to>
        <xdr:sp macro="" textlink="">
          <xdr:nvSpPr>
            <xdr:cNvPr id="44115" name="B_45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A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10</xdr:row>
          <xdr:rowOff>45720</xdr:rowOff>
        </xdr:from>
        <xdr:to>
          <xdr:col>10</xdr:col>
          <xdr:colOff>678180</xdr:colOff>
          <xdr:row>10</xdr:row>
          <xdr:rowOff>449580</xdr:rowOff>
        </xdr:to>
        <xdr:sp macro="" textlink="">
          <xdr:nvSpPr>
            <xdr:cNvPr id="44116" name="Group Box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A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11</xdr:row>
          <xdr:rowOff>175260</xdr:rowOff>
        </xdr:from>
        <xdr:to>
          <xdr:col>7</xdr:col>
          <xdr:colOff>487680</xdr:colOff>
          <xdr:row>11</xdr:row>
          <xdr:rowOff>373380</xdr:rowOff>
        </xdr:to>
        <xdr:sp macro="" textlink="">
          <xdr:nvSpPr>
            <xdr:cNvPr id="44117" name="B_51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A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11</xdr:row>
          <xdr:rowOff>175260</xdr:rowOff>
        </xdr:from>
        <xdr:to>
          <xdr:col>8</xdr:col>
          <xdr:colOff>487680</xdr:colOff>
          <xdr:row>11</xdr:row>
          <xdr:rowOff>373380</xdr:rowOff>
        </xdr:to>
        <xdr:sp macro="" textlink="">
          <xdr:nvSpPr>
            <xdr:cNvPr id="44118" name="B_52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A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11</xdr:row>
          <xdr:rowOff>175260</xdr:rowOff>
        </xdr:from>
        <xdr:to>
          <xdr:col>9</xdr:col>
          <xdr:colOff>495300</xdr:colOff>
          <xdr:row>11</xdr:row>
          <xdr:rowOff>373380</xdr:rowOff>
        </xdr:to>
        <xdr:sp macro="" textlink="">
          <xdr:nvSpPr>
            <xdr:cNvPr id="44119" name="B_53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A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11</xdr:row>
          <xdr:rowOff>175260</xdr:rowOff>
        </xdr:from>
        <xdr:to>
          <xdr:col>10</xdr:col>
          <xdr:colOff>495300</xdr:colOff>
          <xdr:row>11</xdr:row>
          <xdr:rowOff>373380</xdr:rowOff>
        </xdr:to>
        <xdr:sp macro="" textlink="">
          <xdr:nvSpPr>
            <xdr:cNvPr id="44120" name="B_54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A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11</xdr:row>
          <xdr:rowOff>45720</xdr:rowOff>
        </xdr:from>
        <xdr:to>
          <xdr:col>10</xdr:col>
          <xdr:colOff>678180</xdr:colOff>
          <xdr:row>11</xdr:row>
          <xdr:rowOff>449580</xdr:rowOff>
        </xdr:to>
        <xdr:sp macro="" textlink="">
          <xdr:nvSpPr>
            <xdr:cNvPr id="44121" name="Group Box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A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12</xdr:row>
          <xdr:rowOff>175260</xdr:rowOff>
        </xdr:from>
        <xdr:to>
          <xdr:col>7</xdr:col>
          <xdr:colOff>487680</xdr:colOff>
          <xdr:row>12</xdr:row>
          <xdr:rowOff>373380</xdr:rowOff>
        </xdr:to>
        <xdr:sp macro="" textlink="">
          <xdr:nvSpPr>
            <xdr:cNvPr id="44122" name="B_6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A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12</xdr:row>
          <xdr:rowOff>175260</xdr:rowOff>
        </xdr:from>
        <xdr:to>
          <xdr:col>8</xdr:col>
          <xdr:colOff>487680</xdr:colOff>
          <xdr:row>12</xdr:row>
          <xdr:rowOff>373380</xdr:rowOff>
        </xdr:to>
        <xdr:sp macro="" textlink="">
          <xdr:nvSpPr>
            <xdr:cNvPr id="44123" name="B_6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A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12</xdr:row>
          <xdr:rowOff>175260</xdr:rowOff>
        </xdr:from>
        <xdr:to>
          <xdr:col>9</xdr:col>
          <xdr:colOff>495300</xdr:colOff>
          <xdr:row>12</xdr:row>
          <xdr:rowOff>373380</xdr:rowOff>
        </xdr:to>
        <xdr:sp macro="" textlink="">
          <xdr:nvSpPr>
            <xdr:cNvPr id="44124" name="B_6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A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12</xdr:row>
          <xdr:rowOff>175260</xdr:rowOff>
        </xdr:from>
        <xdr:to>
          <xdr:col>10</xdr:col>
          <xdr:colOff>495300</xdr:colOff>
          <xdr:row>12</xdr:row>
          <xdr:rowOff>373380</xdr:rowOff>
        </xdr:to>
        <xdr:sp macro="" textlink="">
          <xdr:nvSpPr>
            <xdr:cNvPr id="44125" name="B_6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A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12</xdr:row>
          <xdr:rowOff>45720</xdr:rowOff>
        </xdr:from>
        <xdr:to>
          <xdr:col>10</xdr:col>
          <xdr:colOff>678180</xdr:colOff>
          <xdr:row>12</xdr:row>
          <xdr:rowOff>449580</xdr:rowOff>
        </xdr:to>
        <xdr:sp macro="" textlink="">
          <xdr:nvSpPr>
            <xdr:cNvPr id="44126" name="Group Box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A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14</xdr:row>
          <xdr:rowOff>175260</xdr:rowOff>
        </xdr:from>
        <xdr:to>
          <xdr:col>4</xdr:col>
          <xdr:colOff>487680</xdr:colOff>
          <xdr:row>14</xdr:row>
          <xdr:rowOff>365760</xdr:rowOff>
        </xdr:to>
        <xdr:sp macro="" textlink="">
          <xdr:nvSpPr>
            <xdr:cNvPr id="44140" name="B_66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A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14</xdr:row>
          <xdr:rowOff>175260</xdr:rowOff>
        </xdr:from>
        <xdr:to>
          <xdr:col>5</xdr:col>
          <xdr:colOff>571500</xdr:colOff>
          <xdr:row>14</xdr:row>
          <xdr:rowOff>365760</xdr:rowOff>
        </xdr:to>
        <xdr:sp macro="" textlink="">
          <xdr:nvSpPr>
            <xdr:cNvPr id="44141" name="B_67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A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175260</xdr:rowOff>
        </xdr:from>
        <xdr:to>
          <xdr:col>6</xdr:col>
          <xdr:colOff>525780</xdr:colOff>
          <xdr:row>14</xdr:row>
          <xdr:rowOff>365760</xdr:rowOff>
        </xdr:to>
        <xdr:sp macro="" textlink="">
          <xdr:nvSpPr>
            <xdr:cNvPr id="44142" name="B_68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A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14</xdr:row>
          <xdr:rowOff>60960</xdr:rowOff>
        </xdr:from>
        <xdr:to>
          <xdr:col>6</xdr:col>
          <xdr:colOff>723900</xdr:colOff>
          <xdr:row>14</xdr:row>
          <xdr:rowOff>457200</xdr:rowOff>
        </xdr:to>
        <xdr:sp macro="" textlink="">
          <xdr:nvSpPr>
            <xdr:cNvPr id="44143" name="Group Box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A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14</xdr:row>
          <xdr:rowOff>175260</xdr:rowOff>
        </xdr:from>
        <xdr:to>
          <xdr:col>7</xdr:col>
          <xdr:colOff>487680</xdr:colOff>
          <xdr:row>14</xdr:row>
          <xdr:rowOff>373380</xdr:rowOff>
        </xdr:to>
        <xdr:sp macro="" textlink="">
          <xdr:nvSpPr>
            <xdr:cNvPr id="44144" name="B_69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A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312420</xdr:colOff>
          <xdr:row>14</xdr:row>
          <xdr:rowOff>175260</xdr:rowOff>
        </xdr:from>
        <xdr:to>
          <xdr:col>8</xdr:col>
          <xdr:colOff>487680</xdr:colOff>
          <xdr:row>14</xdr:row>
          <xdr:rowOff>373380</xdr:rowOff>
        </xdr:to>
        <xdr:sp macro="" textlink="">
          <xdr:nvSpPr>
            <xdr:cNvPr id="44145" name="B_70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A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14</xdr:row>
          <xdr:rowOff>175260</xdr:rowOff>
        </xdr:from>
        <xdr:to>
          <xdr:col>9</xdr:col>
          <xdr:colOff>495300</xdr:colOff>
          <xdr:row>14</xdr:row>
          <xdr:rowOff>373380</xdr:rowOff>
        </xdr:to>
        <xdr:sp macro="" textlink="">
          <xdr:nvSpPr>
            <xdr:cNvPr id="44146" name="B_71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A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327660</xdr:colOff>
          <xdr:row>14</xdr:row>
          <xdr:rowOff>175260</xdr:rowOff>
        </xdr:from>
        <xdr:to>
          <xdr:col>10</xdr:col>
          <xdr:colOff>495300</xdr:colOff>
          <xdr:row>14</xdr:row>
          <xdr:rowOff>373380</xdr:rowOff>
        </xdr:to>
        <xdr:sp macro="" textlink="">
          <xdr:nvSpPr>
            <xdr:cNvPr id="44147" name="B_72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A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14</xdr:row>
          <xdr:rowOff>45720</xdr:rowOff>
        </xdr:from>
        <xdr:to>
          <xdr:col>10</xdr:col>
          <xdr:colOff>678180</xdr:colOff>
          <xdr:row>14</xdr:row>
          <xdr:rowOff>449580</xdr:rowOff>
        </xdr:to>
        <xdr:sp macro="" textlink="">
          <xdr:nvSpPr>
            <xdr:cNvPr id="44148" name="Group Box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A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RF_FE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323850</xdr:colOff>
      <xdr:row>15</xdr:row>
      <xdr:rowOff>139255</xdr:rowOff>
    </xdr:from>
    <xdr:to>
      <xdr:col>10</xdr:col>
      <xdr:colOff>763826</xdr:colOff>
      <xdr:row>16</xdr:row>
      <xdr:rowOff>166687</xdr:rowOff>
    </xdr:to>
    <xdr:sp macro="" textlink="">
      <xdr:nvSpPr>
        <xdr:cNvPr id="122" name="Flecha: a la derecha 1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SpPr/>
      </xdr:nvSpPr>
      <xdr:spPr>
        <a:xfrm>
          <a:off x="9003030" y="6372415"/>
          <a:ext cx="439976" cy="21031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15</xdr:row>
      <xdr:rowOff>139255</xdr:rowOff>
    </xdr:from>
    <xdr:to>
      <xdr:col>1</xdr:col>
      <xdr:colOff>439976</xdr:colOff>
      <xdr:row>16</xdr:row>
      <xdr:rowOff>166687</xdr:rowOff>
    </xdr:to>
    <xdr:sp macro="" textlink="">
      <xdr:nvSpPr>
        <xdr:cNvPr id="123" name="Flecha: a la derecha 1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SpPr/>
      </xdr:nvSpPr>
      <xdr:spPr>
        <a:xfrm flipH="1">
          <a:off x="1417320" y="6372415"/>
          <a:ext cx="439976" cy="21031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684312</xdr:colOff>
      <xdr:row>15</xdr:row>
      <xdr:rowOff>111061</xdr:rowOff>
    </xdr:from>
    <xdr:to>
      <xdr:col>4</xdr:col>
      <xdr:colOff>109002</xdr:colOff>
      <xdr:row>16</xdr:row>
      <xdr:rowOff>194881</xdr:rowOff>
    </xdr:to>
    <xdr:sp macro="[0]!CleanRopa.CleanRopa" textlink="">
      <xdr:nvSpPr>
        <xdr:cNvPr id="136" name="Rectángulo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SpPr/>
      </xdr:nvSpPr>
      <xdr:spPr>
        <a:xfrm>
          <a:off x="2894112" y="6344221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Clear data</a:t>
          </a:r>
        </a:p>
      </xdr:txBody>
    </xdr: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1013459</xdr:colOff>
      <xdr:row>9</xdr:row>
      <xdr:rowOff>164713</xdr:rowOff>
    </xdr:to>
    <xdr:grpSp>
      <xdr:nvGrpSpPr>
        <xdr:cNvPr id="145" name="Grupo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GrpSpPr/>
      </xdr:nvGrpSpPr>
      <xdr:grpSpPr>
        <a:xfrm>
          <a:off x="0" y="373380"/>
          <a:ext cx="1009649" cy="2957443"/>
          <a:chOff x="0" y="365760"/>
          <a:chExt cx="1013459" cy="2946013"/>
        </a:xfrm>
      </xdr:grpSpPr>
      <xdr:sp macro="" textlink="">
        <xdr:nvSpPr>
          <xdr:cNvPr id="146" name="Redondear rectángulo de esquina del mismo lado 1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92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Exposure</a:t>
            </a:r>
          </a:p>
        </xdr:txBody>
      </xdr:sp>
      <xdr:grpSp>
        <xdr:nvGrpSpPr>
          <xdr:cNvPr id="147" name="Grupo 146">
            <a:extLst>
              <a:ext uri="{FF2B5EF4-FFF2-40B4-BE49-F238E27FC236}">
                <a16:creationId xmlns:a16="http://schemas.microsoft.com/office/drawing/2014/main" id="{00000000-0008-0000-0A00-000093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148" name="Redondear rectángulo de esquina del mismo lado 14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94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Company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49" name="Redondear rectángulo de esquina del mismo lado 14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95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Job</a:t>
              </a:r>
            </a:p>
          </xdr:txBody>
        </xdr:sp>
        <xdr:sp macro="" textlink="">
          <xdr:nvSpPr>
            <xdr:cNvPr id="150" name="Redondear rectángulo de esquina del mismo lado 14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96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Task</a:t>
              </a:r>
            </a:p>
          </xdr:txBody>
        </xdr:sp>
        <xdr:sp macro="" textlink="">
          <xdr:nvSpPr>
            <xdr:cNvPr id="151" name="Redondear rectángulo de esquina del mismo lado 15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97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52" name="Redondear rectángulo de esquina del mismo lado 15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98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Emission</a:t>
              </a:r>
            </a:p>
          </xdr:txBody>
        </xdr:sp>
        <xdr:sp macro="" textlink="">
          <xdr:nvSpPr>
            <xdr:cNvPr id="153" name="Redondear rectángulo de esquina del mismo lado 1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99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Deposition</a:t>
              </a:r>
            </a:p>
          </xdr:txBody>
        </xdr:sp>
        <xdr:sp macro="" textlink="">
          <xdr:nvSpPr>
            <xdr:cNvPr id="154" name="Redondear rectángulo de esquina del mismo lado 1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9A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</a:t>
              </a:r>
            </a:p>
          </xdr:txBody>
        </xdr:sp>
        <xdr:sp macro="" textlink="">
          <xdr:nvSpPr>
            <xdr:cNvPr id="155" name="Redondear rectángulo de esquina del mismo lado 15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9B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Gloves</a:t>
              </a:r>
            </a:p>
          </xdr:txBody>
        </xdr:sp>
        <xdr:sp macro="" textlink="">
          <xdr:nvSpPr>
            <xdr:cNvPr id="156" name="Redondear rectángulo de esquina del mismo lado 15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9C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50">
                  <a:solidFill>
                    <a:schemeClr val="bg1"/>
                  </a:solidFill>
                </a:rPr>
                <a:t>Clothes</a:t>
              </a:r>
            </a:p>
          </xdr:txBody>
        </xdr:sp>
        <xdr:sp macro="" textlink="">
          <xdr:nvSpPr>
            <xdr:cNvPr id="157" name="Redondear rectángulo de esquina del mismo lado 15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9D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Department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58" name="Redondear rectángulo de esquina del mismo lado 1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9E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Results</a:t>
              </a: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26539</xdr:colOff>
      <xdr:row>1</xdr:row>
      <xdr:rowOff>43128</xdr:rowOff>
    </xdr:from>
    <xdr:to>
      <xdr:col>6</xdr:col>
      <xdr:colOff>241804</xdr:colOff>
      <xdr:row>2</xdr:row>
      <xdr:rowOff>146542</xdr:rowOff>
    </xdr:to>
    <xdr:sp macro="[0]!Export_Data.Export_Dat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974122" y="233628"/>
          <a:ext cx="987849" cy="29391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Export data</a:t>
          </a:r>
        </a:p>
      </xdr:txBody>
    </xdr:sp>
    <xdr:clientData/>
  </xdr:twoCellAnchor>
  <xdr:twoCellAnchor>
    <xdr:from>
      <xdr:col>3</xdr:col>
      <xdr:colOff>151327</xdr:colOff>
      <xdr:row>0</xdr:row>
      <xdr:rowOff>161032</xdr:rowOff>
    </xdr:from>
    <xdr:to>
      <xdr:col>4</xdr:col>
      <xdr:colOff>389659</xdr:colOff>
      <xdr:row>3</xdr:row>
      <xdr:rowOff>0</xdr:rowOff>
    </xdr:to>
    <xdr:sp macro="[0]!registar_cuestionar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463304" y="161032"/>
          <a:ext cx="1008991" cy="419127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/>
            <a:t>Load data</a:t>
          </a:r>
          <a:r>
            <a:rPr lang="es-ES" sz="1000" baseline="0"/>
            <a:t>       </a:t>
          </a:r>
          <a:r>
            <a:rPr lang="es-ES" sz="1000"/>
            <a:t>and get indexes</a:t>
          </a:r>
        </a:p>
      </xdr:txBody>
    </xdr:sp>
    <xdr:clientData/>
  </xdr:twoCellAnchor>
  <xdr:twoCellAnchor>
    <xdr:from>
      <xdr:col>6</xdr:col>
      <xdr:colOff>390839</xdr:colOff>
      <xdr:row>1</xdr:row>
      <xdr:rowOff>41314</xdr:rowOff>
    </xdr:from>
    <xdr:to>
      <xdr:col>7</xdr:col>
      <xdr:colOff>608009</xdr:colOff>
      <xdr:row>2</xdr:row>
      <xdr:rowOff>148357</xdr:rowOff>
    </xdr:to>
    <xdr:sp macro="[0]!CleanData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111006" y="231814"/>
          <a:ext cx="989753" cy="297543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/>
            <a:t>Clear data</a:t>
          </a:r>
        </a:p>
      </xdr:txBody>
    </xdr:sp>
    <xdr:clientData/>
  </xdr:twoCellAnchor>
  <xdr:twoCellAnchor>
    <xdr:from>
      <xdr:col>0</xdr:col>
      <xdr:colOff>72572</xdr:colOff>
      <xdr:row>0</xdr:row>
      <xdr:rowOff>159319</xdr:rowOff>
    </xdr:from>
    <xdr:to>
      <xdr:col>0</xdr:col>
      <xdr:colOff>544286</xdr:colOff>
      <xdr:row>2</xdr:row>
      <xdr:rowOff>125868</xdr:rowOff>
    </xdr:to>
    <xdr:sp macro="" textlink="">
      <xdr:nvSpPr>
        <xdr:cNvPr id="2" name="Flecha a la derecha con ban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2572" y="159319"/>
          <a:ext cx="471714" cy="347549"/>
        </a:xfrm>
        <a:prstGeom prst="striped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222</xdr:col>
      <xdr:colOff>834572</xdr:colOff>
      <xdr:row>0</xdr:row>
      <xdr:rowOff>147413</xdr:rowOff>
    </xdr:from>
    <xdr:to>
      <xdr:col>222</xdr:col>
      <xdr:colOff>1306286</xdr:colOff>
      <xdr:row>2</xdr:row>
      <xdr:rowOff>113962</xdr:rowOff>
    </xdr:to>
    <xdr:sp macro="" textlink="">
      <xdr:nvSpPr>
        <xdr:cNvPr id="48" name="Flecha a la derecha con bandas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>
        <a:xfrm flipH="1">
          <a:off x="176892291" y="147413"/>
          <a:ext cx="471714" cy="347549"/>
        </a:xfrm>
        <a:prstGeom prst="striped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757042</xdr:colOff>
      <xdr:row>1</xdr:row>
      <xdr:rowOff>45547</xdr:rowOff>
    </xdr:from>
    <xdr:to>
      <xdr:col>9</xdr:col>
      <xdr:colOff>363681</xdr:colOff>
      <xdr:row>2</xdr:row>
      <xdr:rowOff>144123</xdr:rowOff>
    </xdr:to>
    <xdr:sp macro="[0]!Reinsertar_Formulas.Reinsertar_Formulas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238247" y="236047"/>
          <a:ext cx="1147957" cy="289076"/>
        </a:xfrm>
        <a:prstGeom prst="rect">
          <a:avLst/>
        </a:prstGeom>
        <a:solidFill>
          <a:schemeClr val="accent5"/>
        </a:solidFill>
        <a:ln>
          <a:solidFill>
            <a:schemeClr val="accent5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Reinsert  formulas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8" Type="http://schemas.openxmlformats.org/officeDocument/2006/relationships/ctrlProp" Target="../ctrlProps/ctrlProp39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5.xml"/><Relationship Id="rId18" Type="http://schemas.openxmlformats.org/officeDocument/2006/relationships/ctrlProp" Target="../ctrlProps/ctrlProp80.xml"/><Relationship Id="rId26" Type="http://schemas.openxmlformats.org/officeDocument/2006/relationships/ctrlProp" Target="../ctrlProps/ctrlProp88.xml"/><Relationship Id="rId39" Type="http://schemas.openxmlformats.org/officeDocument/2006/relationships/ctrlProp" Target="../ctrlProps/ctrlProp101.xml"/><Relationship Id="rId21" Type="http://schemas.openxmlformats.org/officeDocument/2006/relationships/ctrlProp" Target="../ctrlProps/ctrlProp83.xml"/><Relationship Id="rId34" Type="http://schemas.openxmlformats.org/officeDocument/2006/relationships/ctrlProp" Target="../ctrlProps/ctrlProp96.xml"/><Relationship Id="rId42" Type="http://schemas.openxmlformats.org/officeDocument/2006/relationships/ctrlProp" Target="../ctrlProps/ctrlProp104.xml"/><Relationship Id="rId47" Type="http://schemas.openxmlformats.org/officeDocument/2006/relationships/ctrlProp" Target="../ctrlProps/ctrlProp109.x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78.xml"/><Relationship Id="rId29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24" Type="http://schemas.openxmlformats.org/officeDocument/2006/relationships/ctrlProp" Target="../ctrlProps/ctrlProp86.xml"/><Relationship Id="rId32" Type="http://schemas.openxmlformats.org/officeDocument/2006/relationships/ctrlProp" Target="../ctrlProps/ctrlProp94.xml"/><Relationship Id="rId37" Type="http://schemas.openxmlformats.org/officeDocument/2006/relationships/ctrlProp" Target="../ctrlProps/ctrlProp99.xml"/><Relationship Id="rId40" Type="http://schemas.openxmlformats.org/officeDocument/2006/relationships/ctrlProp" Target="../ctrlProps/ctrlProp102.xml"/><Relationship Id="rId45" Type="http://schemas.openxmlformats.org/officeDocument/2006/relationships/ctrlProp" Target="../ctrlProps/ctrlProp107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23" Type="http://schemas.openxmlformats.org/officeDocument/2006/relationships/ctrlProp" Target="../ctrlProps/ctrlProp85.xml"/><Relationship Id="rId28" Type="http://schemas.openxmlformats.org/officeDocument/2006/relationships/ctrlProp" Target="../ctrlProps/ctrlProp90.xml"/><Relationship Id="rId36" Type="http://schemas.openxmlformats.org/officeDocument/2006/relationships/ctrlProp" Target="../ctrlProps/ctrlProp98.xml"/><Relationship Id="rId10" Type="http://schemas.openxmlformats.org/officeDocument/2006/relationships/ctrlProp" Target="../ctrlProps/ctrlProp72.xml"/><Relationship Id="rId19" Type="http://schemas.openxmlformats.org/officeDocument/2006/relationships/ctrlProp" Target="../ctrlProps/ctrlProp81.xml"/><Relationship Id="rId31" Type="http://schemas.openxmlformats.org/officeDocument/2006/relationships/ctrlProp" Target="../ctrlProps/ctrlProp93.xml"/><Relationship Id="rId44" Type="http://schemas.openxmlformats.org/officeDocument/2006/relationships/ctrlProp" Target="../ctrlProps/ctrlProp106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Relationship Id="rId22" Type="http://schemas.openxmlformats.org/officeDocument/2006/relationships/ctrlProp" Target="../ctrlProps/ctrlProp84.xml"/><Relationship Id="rId27" Type="http://schemas.openxmlformats.org/officeDocument/2006/relationships/ctrlProp" Target="../ctrlProps/ctrlProp89.xml"/><Relationship Id="rId30" Type="http://schemas.openxmlformats.org/officeDocument/2006/relationships/ctrlProp" Target="../ctrlProps/ctrlProp92.xml"/><Relationship Id="rId35" Type="http://schemas.openxmlformats.org/officeDocument/2006/relationships/ctrlProp" Target="../ctrlProps/ctrlProp97.xml"/><Relationship Id="rId43" Type="http://schemas.openxmlformats.org/officeDocument/2006/relationships/ctrlProp" Target="../ctrlProps/ctrlProp105.xml"/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74.xml"/><Relationship Id="rId17" Type="http://schemas.openxmlformats.org/officeDocument/2006/relationships/ctrlProp" Target="../ctrlProps/ctrlProp79.xml"/><Relationship Id="rId25" Type="http://schemas.openxmlformats.org/officeDocument/2006/relationships/ctrlProp" Target="../ctrlProps/ctrlProp87.xml"/><Relationship Id="rId33" Type="http://schemas.openxmlformats.org/officeDocument/2006/relationships/ctrlProp" Target="../ctrlProps/ctrlProp95.xml"/><Relationship Id="rId38" Type="http://schemas.openxmlformats.org/officeDocument/2006/relationships/ctrlProp" Target="../ctrlProps/ctrlProp100.xml"/><Relationship Id="rId46" Type="http://schemas.openxmlformats.org/officeDocument/2006/relationships/ctrlProp" Target="../ctrlProps/ctrlProp108.xml"/><Relationship Id="rId20" Type="http://schemas.openxmlformats.org/officeDocument/2006/relationships/ctrlProp" Target="../ctrlProps/ctrlProp82.xml"/><Relationship Id="rId41" Type="http://schemas.openxmlformats.org/officeDocument/2006/relationships/ctrlProp" Target="../ctrlProps/ctrlProp103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9.xml"/><Relationship Id="rId18" Type="http://schemas.openxmlformats.org/officeDocument/2006/relationships/ctrlProp" Target="../ctrlProps/ctrlProp124.xml"/><Relationship Id="rId26" Type="http://schemas.openxmlformats.org/officeDocument/2006/relationships/ctrlProp" Target="../ctrlProps/ctrlProp132.xml"/><Relationship Id="rId39" Type="http://schemas.openxmlformats.org/officeDocument/2006/relationships/ctrlProp" Target="../ctrlProps/ctrlProp145.xml"/><Relationship Id="rId21" Type="http://schemas.openxmlformats.org/officeDocument/2006/relationships/ctrlProp" Target="../ctrlProps/ctrlProp127.xml"/><Relationship Id="rId34" Type="http://schemas.openxmlformats.org/officeDocument/2006/relationships/ctrlProp" Target="../ctrlProps/ctrlProp140.xml"/><Relationship Id="rId7" Type="http://schemas.openxmlformats.org/officeDocument/2006/relationships/ctrlProp" Target="../ctrlProps/ctrlProp113.xml"/><Relationship Id="rId12" Type="http://schemas.openxmlformats.org/officeDocument/2006/relationships/ctrlProp" Target="../ctrlProps/ctrlProp118.xml"/><Relationship Id="rId17" Type="http://schemas.openxmlformats.org/officeDocument/2006/relationships/ctrlProp" Target="../ctrlProps/ctrlProp123.xml"/><Relationship Id="rId25" Type="http://schemas.openxmlformats.org/officeDocument/2006/relationships/ctrlProp" Target="../ctrlProps/ctrlProp131.xml"/><Relationship Id="rId33" Type="http://schemas.openxmlformats.org/officeDocument/2006/relationships/ctrlProp" Target="../ctrlProps/ctrlProp139.xml"/><Relationship Id="rId38" Type="http://schemas.openxmlformats.org/officeDocument/2006/relationships/ctrlProp" Target="../ctrlProps/ctrlProp144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2.xml"/><Relationship Id="rId20" Type="http://schemas.openxmlformats.org/officeDocument/2006/relationships/ctrlProp" Target="../ctrlProps/ctrlProp126.xml"/><Relationship Id="rId29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2.xml"/><Relationship Id="rId11" Type="http://schemas.openxmlformats.org/officeDocument/2006/relationships/ctrlProp" Target="../ctrlProps/ctrlProp117.xml"/><Relationship Id="rId24" Type="http://schemas.openxmlformats.org/officeDocument/2006/relationships/ctrlProp" Target="../ctrlProps/ctrlProp130.xml"/><Relationship Id="rId32" Type="http://schemas.openxmlformats.org/officeDocument/2006/relationships/ctrlProp" Target="../ctrlProps/ctrlProp138.xml"/><Relationship Id="rId37" Type="http://schemas.openxmlformats.org/officeDocument/2006/relationships/ctrlProp" Target="../ctrlProps/ctrlProp143.xml"/><Relationship Id="rId40" Type="http://schemas.openxmlformats.org/officeDocument/2006/relationships/ctrlProp" Target="../ctrlProps/ctrlProp146.xml"/><Relationship Id="rId5" Type="http://schemas.openxmlformats.org/officeDocument/2006/relationships/ctrlProp" Target="../ctrlProps/ctrlProp111.xml"/><Relationship Id="rId15" Type="http://schemas.openxmlformats.org/officeDocument/2006/relationships/ctrlProp" Target="../ctrlProps/ctrlProp121.xml"/><Relationship Id="rId23" Type="http://schemas.openxmlformats.org/officeDocument/2006/relationships/ctrlProp" Target="../ctrlProps/ctrlProp129.xml"/><Relationship Id="rId28" Type="http://schemas.openxmlformats.org/officeDocument/2006/relationships/ctrlProp" Target="../ctrlProps/ctrlProp134.xml"/><Relationship Id="rId36" Type="http://schemas.openxmlformats.org/officeDocument/2006/relationships/ctrlProp" Target="../ctrlProps/ctrlProp142.xml"/><Relationship Id="rId10" Type="http://schemas.openxmlformats.org/officeDocument/2006/relationships/ctrlProp" Target="../ctrlProps/ctrlProp116.xml"/><Relationship Id="rId19" Type="http://schemas.openxmlformats.org/officeDocument/2006/relationships/ctrlProp" Target="../ctrlProps/ctrlProp125.xml"/><Relationship Id="rId31" Type="http://schemas.openxmlformats.org/officeDocument/2006/relationships/ctrlProp" Target="../ctrlProps/ctrlProp137.xml"/><Relationship Id="rId4" Type="http://schemas.openxmlformats.org/officeDocument/2006/relationships/ctrlProp" Target="../ctrlProps/ctrlProp110.xml"/><Relationship Id="rId9" Type="http://schemas.openxmlformats.org/officeDocument/2006/relationships/ctrlProp" Target="../ctrlProps/ctrlProp115.xml"/><Relationship Id="rId14" Type="http://schemas.openxmlformats.org/officeDocument/2006/relationships/ctrlProp" Target="../ctrlProps/ctrlProp120.xml"/><Relationship Id="rId22" Type="http://schemas.openxmlformats.org/officeDocument/2006/relationships/ctrlProp" Target="../ctrlProps/ctrlProp128.xml"/><Relationship Id="rId27" Type="http://schemas.openxmlformats.org/officeDocument/2006/relationships/ctrlProp" Target="../ctrlProps/ctrlProp133.xml"/><Relationship Id="rId30" Type="http://schemas.openxmlformats.org/officeDocument/2006/relationships/ctrlProp" Target="../ctrlProps/ctrlProp136.xml"/><Relationship Id="rId35" Type="http://schemas.openxmlformats.org/officeDocument/2006/relationships/ctrlProp" Target="../ctrlProps/ctrlProp141.xml"/><Relationship Id="rId8" Type="http://schemas.openxmlformats.org/officeDocument/2006/relationships/ctrlProp" Target="../ctrlProps/ctrlProp114.xml"/><Relationship Id="rId3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9.xml"/><Relationship Id="rId117" Type="http://schemas.openxmlformats.org/officeDocument/2006/relationships/ctrlProp" Target="../ctrlProps/ctrlProp260.xml"/><Relationship Id="rId21" Type="http://schemas.openxmlformats.org/officeDocument/2006/relationships/ctrlProp" Target="../ctrlProps/ctrlProp164.xml"/><Relationship Id="rId42" Type="http://schemas.openxmlformats.org/officeDocument/2006/relationships/ctrlProp" Target="../ctrlProps/ctrlProp185.xml"/><Relationship Id="rId47" Type="http://schemas.openxmlformats.org/officeDocument/2006/relationships/ctrlProp" Target="../ctrlProps/ctrlProp190.xml"/><Relationship Id="rId63" Type="http://schemas.openxmlformats.org/officeDocument/2006/relationships/ctrlProp" Target="../ctrlProps/ctrlProp206.xml"/><Relationship Id="rId68" Type="http://schemas.openxmlformats.org/officeDocument/2006/relationships/ctrlProp" Target="../ctrlProps/ctrlProp211.xml"/><Relationship Id="rId84" Type="http://schemas.openxmlformats.org/officeDocument/2006/relationships/ctrlProp" Target="../ctrlProps/ctrlProp227.xml"/><Relationship Id="rId89" Type="http://schemas.openxmlformats.org/officeDocument/2006/relationships/ctrlProp" Target="../ctrlProps/ctrlProp232.xml"/><Relationship Id="rId112" Type="http://schemas.openxmlformats.org/officeDocument/2006/relationships/ctrlProp" Target="../ctrlProps/ctrlProp255.xml"/><Relationship Id="rId16" Type="http://schemas.openxmlformats.org/officeDocument/2006/relationships/ctrlProp" Target="../ctrlProps/ctrlProp159.xml"/><Relationship Id="rId107" Type="http://schemas.openxmlformats.org/officeDocument/2006/relationships/ctrlProp" Target="../ctrlProps/ctrlProp250.xml"/><Relationship Id="rId11" Type="http://schemas.openxmlformats.org/officeDocument/2006/relationships/ctrlProp" Target="../ctrlProps/ctrlProp154.xml"/><Relationship Id="rId32" Type="http://schemas.openxmlformats.org/officeDocument/2006/relationships/ctrlProp" Target="../ctrlProps/ctrlProp175.xml"/><Relationship Id="rId37" Type="http://schemas.openxmlformats.org/officeDocument/2006/relationships/ctrlProp" Target="../ctrlProps/ctrlProp180.xml"/><Relationship Id="rId53" Type="http://schemas.openxmlformats.org/officeDocument/2006/relationships/ctrlProp" Target="../ctrlProps/ctrlProp196.xml"/><Relationship Id="rId58" Type="http://schemas.openxmlformats.org/officeDocument/2006/relationships/ctrlProp" Target="../ctrlProps/ctrlProp201.xml"/><Relationship Id="rId74" Type="http://schemas.openxmlformats.org/officeDocument/2006/relationships/ctrlProp" Target="../ctrlProps/ctrlProp217.xml"/><Relationship Id="rId79" Type="http://schemas.openxmlformats.org/officeDocument/2006/relationships/ctrlProp" Target="../ctrlProps/ctrlProp222.xml"/><Relationship Id="rId102" Type="http://schemas.openxmlformats.org/officeDocument/2006/relationships/ctrlProp" Target="../ctrlProps/ctrlProp245.xml"/><Relationship Id="rId123" Type="http://schemas.openxmlformats.org/officeDocument/2006/relationships/ctrlProp" Target="../ctrlProps/ctrlProp266.xml"/><Relationship Id="rId5" Type="http://schemas.openxmlformats.org/officeDocument/2006/relationships/ctrlProp" Target="../ctrlProps/ctrlProp148.xml"/><Relationship Id="rId90" Type="http://schemas.openxmlformats.org/officeDocument/2006/relationships/ctrlProp" Target="../ctrlProps/ctrlProp233.xml"/><Relationship Id="rId95" Type="http://schemas.openxmlformats.org/officeDocument/2006/relationships/ctrlProp" Target="../ctrlProps/ctrlProp238.xml"/><Relationship Id="rId22" Type="http://schemas.openxmlformats.org/officeDocument/2006/relationships/ctrlProp" Target="../ctrlProps/ctrlProp165.xml"/><Relationship Id="rId27" Type="http://schemas.openxmlformats.org/officeDocument/2006/relationships/ctrlProp" Target="../ctrlProps/ctrlProp170.xml"/><Relationship Id="rId43" Type="http://schemas.openxmlformats.org/officeDocument/2006/relationships/ctrlProp" Target="../ctrlProps/ctrlProp186.xml"/><Relationship Id="rId48" Type="http://schemas.openxmlformats.org/officeDocument/2006/relationships/ctrlProp" Target="../ctrlProps/ctrlProp191.xml"/><Relationship Id="rId64" Type="http://schemas.openxmlformats.org/officeDocument/2006/relationships/ctrlProp" Target="../ctrlProps/ctrlProp207.xml"/><Relationship Id="rId69" Type="http://schemas.openxmlformats.org/officeDocument/2006/relationships/ctrlProp" Target="../ctrlProps/ctrlProp212.xml"/><Relationship Id="rId113" Type="http://schemas.openxmlformats.org/officeDocument/2006/relationships/ctrlProp" Target="../ctrlProps/ctrlProp256.xml"/><Relationship Id="rId118" Type="http://schemas.openxmlformats.org/officeDocument/2006/relationships/ctrlProp" Target="../ctrlProps/ctrlProp261.xml"/><Relationship Id="rId80" Type="http://schemas.openxmlformats.org/officeDocument/2006/relationships/ctrlProp" Target="../ctrlProps/ctrlProp223.xml"/><Relationship Id="rId85" Type="http://schemas.openxmlformats.org/officeDocument/2006/relationships/ctrlProp" Target="../ctrlProps/ctrlProp228.xml"/><Relationship Id="rId12" Type="http://schemas.openxmlformats.org/officeDocument/2006/relationships/ctrlProp" Target="../ctrlProps/ctrlProp155.xml"/><Relationship Id="rId17" Type="http://schemas.openxmlformats.org/officeDocument/2006/relationships/ctrlProp" Target="../ctrlProps/ctrlProp160.xml"/><Relationship Id="rId33" Type="http://schemas.openxmlformats.org/officeDocument/2006/relationships/ctrlProp" Target="../ctrlProps/ctrlProp176.xml"/><Relationship Id="rId38" Type="http://schemas.openxmlformats.org/officeDocument/2006/relationships/ctrlProp" Target="../ctrlProps/ctrlProp181.xml"/><Relationship Id="rId59" Type="http://schemas.openxmlformats.org/officeDocument/2006/relationships/ctrlProp" Target="../ctrlProps/ctrlProp202.xml"/><Relationship Id="rId103" Type="http://schemas.openxmlformats.org/officeDocument/2006/relationships/ctrlProp" Target="../ctrlProps/ctrlProp246.xml"/><Relationship Id="rId108" Type="http://schemas.openxmlformats.org/officeDocument/2006/relationships/ctrlProp" Target="../ctrlProps/ctrlProp251.xml"/><Relationship Id="rId124" Type="http://schemas.openxmlformats.org/officeDocument/2006/relationships/ctrlProp" Target="../ctrlProps/ctrlProp267.xml"/><Relationship Id="rId54" Type="http://schemas.openxmlformats.org/officeDocument/2006/relationships/ctrlProp" Target="../ctrlProps/ctrlProp197.xml"/><Relationship Id="rId70" Type="http://schemas.openxmlformats.org/officeDocument/2006/relationships/ctrlProp" Target="../ctrlProps/ctrlProp213.xml"/><Relationship Id="rId75" Type="http://schemas.openxmlformats.org/officeDocument/2006/relationships/ctrlProp" Target="../ctrlProps/ctrlProp218.xml"/><Relationship Id="rId91" Type="http://schemas.openxmlformats.org/officeDocument/2006/relationships/ctrlProp" Target="../ctrlProps/ctrlProp234.xml"/><Relationship Id="rId96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9.xml"/><Relationship Id="rId23" Type="http://schemas.openxmlformats.org/officeDocument/2006/relationships/ctrlProp" Target="../ctrlProps/ctrlProp166.xml"/><Relationship Id="rId28" Type="http://schemas.openxmlformats.org/officeDocument/2006/relationships/ctrlProp" Target="../ctrlProps/ctrlProp171.xml"/><Relationship Id="rId49" Type="http://schemas.openxmlformats.org/officeDocument/2006/relationships/ctrlProp" Target="../ctrlProps/ctrlProp192.xml"/><Relationship Id="rId114" Type="http://schemas.openxmlformats.org/officeDocument/2006/relationships/ctrlProp" Target="../ctrlProps/ctrlProp257.xml"/><Relationship Id="rId119" Type="http://schemas.openxmlformats.org/officeDocument/2006/relationships/ctrlProp" Target="../ctrlProps/ctrlProp262.xml"/><Relationship Id="rId44" Type="http://schemas.openxmlformats.org/officeDocument/2006/relationships/ctrlProp" Target="../ctrlProps/ctrlProp187.xml"/><Relationship Id="rId60" Type="http://schemas.openxmlformats.org/officeDocument/2006/relationships/ctrlProp" Target="../ctrlProps/ctrlProp203.xml"/><Relationship Id="rId65" Type="http://schemas.openxmlformats.org/officeDocument/2006/relationships/ctrlProp" Target="../ctrlProps/ctrlProp208.xml"/><Relationship Id="rId81" Type="http://schemas.openxmlformats.org/officeDocument/2006/relationships/ctrlProp" Target="../ctrlProps/ctrlProp224.xml"/><Relationship Id="rId86" Type="http://schemas.openxmlformats.org/officeDocument/2006/relationships/ctrlProp" Target="../ctrlProps/ctrlProp229.xml"/><Relationship Id="rId13" Type="http://schemas.openxmlformats.org/officeDocument/2006/relationships/ctrlProp" Target="../ctrlProps/ctrlProp156.xml"/><Relationship Id="rId18" Type="http://schemas.openxmlformats.org/officeDocument/2006/relationships/ctrlProp" Target="../ctrlProps/ctrlProp161.xml"/><Relationship Id="rId39" Type="http://schemas.openxmlformats.org/officeDocument/2006/relationships/ctrlProp" Target="../ctrlProps/ctrlProp182.xml"/><Relationship Id="rId109" Type="http://schemas.openxmlformats.org/officeDocument/2006/relationships/ctrlProp" Target="../ctrlProps/ctrlProp252.xml"/><Relationship Id="rId34" Type="http://schemas.openxmlformats.org/officeDocument/2006/relationships/ctrlProp" Target="../ctrlProps/ctrlProp177.xml"/><Relationship Id="rId50" Type="http://schemas.openxmlformats.org/officeDocument/2006/relationships/ctrlProp" Target="../ctrlProps/ctrlProp193.xml"/><Relationship Id="rId55" Type="http://schemas.openxmlformats.org/officeDocument/2006/relationships/ctrlProp" Target="../ctrlProps/ctrlProp198.xml"/><Relationship Id="rId76" Type="http://schemas.openxmlformats.org/officeDocument/2006/relationships/ctrlProp" Target="../ctrlProps/ctrlProp219.xml"/><Relationship Id="rId97" Type="http://schemas.openxmlformats.org/officeDocument/2006/relationships/ctrlProp" Target="../ctrlProps/ctrlProp240.xml"/><Relationship Id="rId104" Type="http://schemas.openxmlformats.org/officeDocument/2006/relationships/ctrlProp" Target="../ctrlProps/ctrlProp247.xml"/><Relationship Id="rId120" Type="http://schemas.openxmlformats.org/officeDocument/2006/relationships/ctrlProp" Target="../ctrlProps/ctrlProp263.xml"/><Relationship Id="rId125" Type="http://schemas.openxmlformats.org/officeDocument/2006/relationships/ctrlProp" Target="../ctrlProps/ctrlProp268.xml"/><Relationship Id="rId7" Type="http://schemas.openxmlformats.org/officeDocument/2006/relationships/ctrlProp" Target="../ctrlProps/ctrlProp150.xml"/><Relationship Id="rId71" Type="http://schemas.openxmlformats.org/officeDocument/2006/relationships/ctrlProp" Target="../ctrlProps/ctrlProp214.xml"/><Relationship Id="rId92" Type="http://schemas.openxmlformats.org/officeDocument/2006/relationships/ctrlProp" Target="../ctrlProps/ctrlProp23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72.xml"/><Relationship Id="rId24" Type="http://schemas.openxmlformats.org/officeDocument/2006/relationships/ctrlProp" Target="../ctrlProps/ctrlProp167.xml"/><Relationship Id="rId40" Type="http://schemas.openxmlformats.org/officeDocument/2006/relationships/ctrlProp" Target="../ctrlProps/ctrlProp183.xml"/><Relationship Id="rId45" Type="http://schemas.openxmlformats.org/officeDocument/2006/relationships/ctrlProp" Target="../ctrlProps/ctrlProp188.xml"/><Relationship Id="rId66" Type="http://schemas.openxmlformats.org/officeDocument/2006/relationships/ctrlProp" Target="../ctrlProps/ctrlProp209.xml"/><Relationship Id="rId87" Type="http://schemas.openxmlformats.org/officeDocument/2006/relationships/ctrlProp" Target="../ctrlProps/ctrlProp230.xml"/><Relationship Id="rId110" Type="http://schemas.openxmlformats.org/officeDocument/2006/relationships/ctrlProp" Target="../ctrlProps/ctrlProp253.xml"/><Relationship Id="rId115" Type="http://schemas.openxmlformats.org/officeDocument/2006/relationships/ctrlProp" Target="../ctrlProps/ctrlProp258.xml"/><Relationship Id="rId61" Type="http://schemas.openxmlformats.org/officeDocument/2006/relationships/ctrlProp" Target="../ctrlProps/ctrlProp204.xml"/><Relationship Id="rId82" Type="http://schemas.openxmlformats.org/officeDocument/2006/relationships/ctrlProp" Target="../ctrlProps/ctrlProp225.xml"/><Relationship Id="rId19" Type="http://schemas.openxmlformats.org/officeDocument/2006/relationships/ctrlProp" Target="../ctrlProps/ctrlProp162.xml"/><Relationship Id="rId14" Type="http://schemas.openxmlformats.org/officeDocument/2006/relationships/ctrlProp" Target="../ctrlProps/ctrlProp157.xml"/><Relationship Id="rId30" Type="http://schemas.openxmlformats.org/officeDocument/2006/relationships/ctrlProp" Target="../ctrlProps/ctrlProp173.xml"/><Relationship Id="rId35" Type="http://schemas.openxmlformats.org/officeDocument/2006/relationships/ctrlProp" Target="../ctrlProps/ctrlProp178.xml"/><Relationship Id="rId56" Type="http://schemas.openxmlformats.org/officeDocument/2006/relationships/ctrlProp" Target="../ctrlProps/ctrlProp199.xml"/><Relationship Id="rId77" Type="http://schemas.openxmlformats.org/officeDocument/2006/relationships/ctrlProp" Target="../ctrlProps/ctrlProp220.xml"/><Relationship Id="rId100" Type="http://schemas.openxmlformats.org/officeDocument/2006/relationships/ctrlProp" Target="../ctrlProps/ctrlProp243.xml"/><Relationship Id="rId105" Type="http://schemas.openxmlformats.org/officeDocument/2006/relationships/ctrlProp" Target="../ctrlProps/ctrlProp248.xml"/><Relationship Id="rId126" Type="http://schemas.openxmlformats.org/officeDocument/2006/relationships/ctrlProp" Target="../ctrlProps/ctrlProp269.xml"/><Relationship Id="rId8" Type="http://schemas.openxmlformats.org/officeDocument/2006/relationships/ctrlProp" Target="../ctrlProps/ctrlProp151.xml"/><Relationship Id="rId51" Type="http://schemas.openxmlformats.org/officeDocument/2006/relationships/ctrlProp" Target="../ctrlProps/ctrlProp194.xml"/><Relationship Id="rId72" Type="http://schemas.openxmlformats.org/officeDocument/2006/relationships/ctrlProp" Target="../ctrlProps/ctrlProp215.xml"/><Relationship Id="rId93" Type="http://schemas.openxmlformats.org/officeDocument/2006/relationships/ctrlProp" Target="../ctrlProps/ctrlProp236.xml"/><Relationship Id="rId98" Type="http://schemas.openxmlformats.org/officeDocument/2006/relationships/ctrlProp" Target="../ctrlProps/ctrlProp241.xml"/><Relationship Id="rId121" Type="http://schemas.openxmlformats.org/officeDocument/2006/relationships/ctrlProp" Target="../ctrlProps/ctrlProp2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168.xml"/><Relationship Id="rId46" Type="http://schemas.openxmlformats.org/officeDocument/2006/relationships/ctrlProp" Target="../ctrlProps/ctrlProp189.xml"/><Relationship Id="rId67" Type="http://schemas.openxmlformats.org/officeDocument/2006/relationships/ctrlProp" Target="../ctrlProps/ctrlProp210.xml"/><Relationship Id="rId116" Type="http://schemas.openxmlformats.org/officeDocument/2006/relationships/ctrlProp" Target="../ctrlProps/ctrlProp259.xml"/><Relationship Id="rId20" Type="http://schemas.openxmlformats.org/officeDocument/2006/relationships/ctrlProp" Target="../ctrlProps/ctrlProp163.xml"/><Relationship Id="rId41" Type="http://schemas.openxmlformats.org/officeDocument/2006/relationships/ctrlProp" Target="../ctrlProps/ctrlProp184.xml"/><Relationship Id="rId62" Type="http://schemas.openxmlformats.org/officeDocument/2006/relationships/ctrlProp" Target="../ctrlProps/ctrlProp205.xml"/><Relationship Id="rId83" Type="http://schemas.openxmlformats.org/officeDocument/2006/relationships/ctrlProp" Target="../ctrlProps/ctrlProp226.xml"/><Relationship Id="rId88" Type="http://schemas.openxmlformats.org/officeDocument/2006/relationships/ctrlProp" Target="../ctrlProps/ctrlProp231.xml"/><Relationship Id="rId111" Type="http://schemas.openxmlformats.org/officeDocument/2006/relationships/ctrlProp" Target="../ctrlProps/ctrlProp254.xml"/><Relationship Id="rId15" Type="http://schemas.openxmlformats.org/officeDocument/2006/relationships/ctrlProp" Target="../ctrlProps/ctrlProp158.xml"/><Relationship Id="rId36" Type="http://schemas.openxmlformats.org/officeDocument/2006/relationships/ctrlProp" Target="../ctrlProps/ctrlProp179.xml"/><Relationship Id="rId57" Type="http://schemas.openxmlformats.org/officeDocument/2006/relationships/ctrlProp" Target="../ctrlProps/ctrlProp200.xml"/><Relationship Id="rId106" Type="http://schemas.openxmlformats.org/officeDocument/2006/relationships/ctrlProp" Target="../ctrlProps/ctrlProp249.xml"/><Relationship Id="rId127" Type="http://schemas.openxmlformats.org/officeDocument/2006/relationships/ctrlProp" Target="../ctrlProps/ctrlProp270.xml"/><Relationship Id="rId10" Type="http://schemas.openxmlformats.org/officeDocument/2006/relationships/ctrlProp" Target="../ctrlProps/ctrlProp153.xml"/><Relationship Id="rId31" Type="http://schemas.openxmlformats.org/officeDocument/2006/relationships/ctrlProp" Target="../ctrlProps/ctrlProp174.xml"/><Relationship Id="rId52" Type="http://schemas.openxmlformats.org/officeDocument/2006/relationships/ctrlProp" Target="../ctrlProps/ctrlProp195.xml"/><Relationship Id="rId73" Type="http://schemas.openxmlformats.org/officeDocument/2006/relationships/ctrlProp" Target="../ctrlProps/ctrlProp216.xml"/><Relationship Id="rId78" Type="http://schemas.openxmlformats.org/officeDocument/2006/relationships/ctrlProp" Target="../ctrlProps/ctrlProp221.xml"/><Relationship Id="rId94" Type="http://schemas.openxmlformats.org/officeDocument/2006/relationships/ctrlProp" Target="../ctrlProps/ctrlProp237.xml"/><Relationship Id="rId99" Type="http://schemas.openxmlformats.org/officeDocument/2006/relationships/ctrlProp" Target="../ctrlProps/ctrlProp242.xml"/><Relationship Id="rId101" Type="http://schemas.openxmlformats.org/officeDocument/2006/relationships/ctrlProp" Target="../ctrlProps/ctrlProp244.xml"/><Relationship Id="rId122" Type="http://schemas.openxmlformats.org/officeDocument/2006/relationships/ctrlProp" Target="../ctrlProps/ctrlProp265.xml"/><Relationship Id="rId4" Type="http://schemas.openxmlformats.org/officeDocument/2006/relationships/ctrlProp" Target="../ctrlProps/ctrlProp147.xml"/><Relationship Id="rId9" Type="http://schemas.openxmlformats.org/officeDocument/2006/relationships/ctrlProp" Target="../ctrlProps/ctrlProp152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80.xml"/><Relationship Id="rId18" Type="http://schemas.openxmlformats.org/officeDocument/2006/relationships/ctrlProp" Target="../ctrlProps/ctrlProp285.xml"/><Relationship Id="rId26" Type="http://schemas.openxmlformats.org/officeDocument/2006/relationships/ctrlProp" Target="../ctrlProps/ctrlProp29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88.xml"/><Relationship Id="rId34" Type="http://schemas.openxmlformats.org/officeDocument/2006/relationships/ctrlProp" Target="../ctrlProps/ctrlProp301.xml"/><Relationship Id="rId7" Type="http://schemas.openxmlformats.org/officeDocument/2006/relationships/ctrlProp" Target="../ctrlProps/ctrlProp274.xml"/><Relationship Id="rId12" Type="http://schemas.openxmlformats.org/officeDocument/2006/relationships/ctrlProp" Target="../ctrlProps/ctrlProp279.xml"/><Relationship Id="rId17" Type="http://schemas.openxmlformats.org/officeDocument/2006/relationships/ctrlProp" Target="../ctrlProps/ctrlProp284.xml"/><Relationship Id="rId25" Type="http://schemas.openxmlformats.org/officeDocument/2006/relationships/ctrlProp" Target="../ctrlProps/ctrlProp292.xml"/><Relationship Id="rId33" Type="http://schemas.openxmlformats.org/officeDocument/2006/relationships/ctrlProp" Target="../ctrlProps/ctrlProp30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83.xml"/><Relationship Id="rId20" Type="http://schemas.openxmlformats.org/officeDocument/2006/relationships/ctrlProp" Target="../ctrlProps/ctrlProp287.xml"/><Relationship Id="rId29" Type="http://schemas.openxmlformats.org/officeDocument/2006/relationships/ctrlProp" Target="../ctrlProps/ctrlProp296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73.xml"/><Relationship Id="rId11" Type="http://schemas.openxmlformats.org/officeDocument/2006/relationships/ctrlProp" Target="../ctrlProps/ctrlProp278.xml"/><Relationship Id="rId24" Type="http://schemas.openxmlformats.org/officeDocument/2006/relationships/ctrlProp" Target="../ctrlProps/ctrlProp291.xml"/><Relationship Id="rId32" Type="http://schemas.openxmlformats.org/officeDocument/2006/relationships/ctrlProp" Target="../ctrlProps/ctrlProp299.xml"/><Relationship Id="rId5" Type="http://schemas.openxmlformats.org/officeDocument/2006/relationships/ctrlProp" Target="../ctrlProps/ctrlProp272.xml"/><Relationship Id="rId15" Type="http://schemas.openxmlformats.org/officeDocument/2006/relationships/ctrlProp" Target="../ctrlProps/ctrlProp282.xml"/><Relationship Id="rId23" Type="http://schemas.openxmlformats.org/officeDocument/2006/relationships/ctrlProp" Target="../ctrlProps/ctrlProp290.xml"/><Relationship Id="rId28" Type="http://schemas.openxmlformats.org/officeDocument/2006/relationships/ctrlProp" Target="../ctrlProps/ctrlProp295.xml"/><Relationship Id="rId10" Type="http://schemas.openxmlformats.org/officeDocument/2006/relationships/ctrlProp" Target="../ctrlProps/ctrlProp277.xml"/><Relationship Id="rId19" Type="http://schemas.openxmlformats.org/officeDocument/2006/relationships/ctrlProp" Target="../ctrlProps/ctrlProp286.xml"/><Relationship Id="rId31" Type="http://schemas.openxmlformats.org/officeDocument/2006/relationships/ctrlProp" Target="../ctrlProps/ctrlProp298.xml"/><Relationship Id="rId4" Type="http://schemas.openxmlformats.org/officeDocument/2006/relationships/ctrlProp" Target="../ctrlProps/ctrlProp271.xml"/><Relationship Id="rId9" Type="http://schemas.openxmlformats.org/officeDocument/2006/relationships/ctrlProp" Target="../ctrlProps/ctrlProp276.xml"/><Relationship Id="rId14" Type="http://schemas.openxmlformats.org/officeDocument/2006/relationships/ctrlProp" Target="../ctrlProps/ctrlProp281.xml"/><Relationship Id="rId22" Type="http://schemas.openxmlformats.org/officeDocument/2006/relationships/ctrlProp" Target="../ctrlProps/ctrlProp289.xml"/><Relationship Id="rId27" Type="http://schemas.openxmlformats.org/officeDocument/2006/relationships/ctrlProp" Target="../ctrlProps/ctrlProp294.xml"/><Relationship Id="rId30" Type="http://schemas.openxmlformats.org/officeDocument/2006/relationships/ctrlProp" Target="../ctrlProps/ctrlProp297.xml"/><Relationship Id="rId35" Type="http://schemas.openxmlformats.org/officeDocument/2006/relationships/ctrlProp" Target="../ctrlProps/ctrlProp302.xml"/><Relationship Id="rId8" Type="http://schemas.openxmlformats.org/officeDocument/2006/relationships/ctrlProp" Target="../ctrlProps/ctrlProp275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5.xml"/><Relationship Id="rId21" Type="http://schemas.openxmlformats.org/officeDocument/2006/relationships/ctrlProp" Target="../ctrlProps/ctrlProp320.xml"/><Relationship Id="rId42" Type="http://schemas.openxmlformats.org/officeDocument/2006/relationships/ctrlProp" Target="../ctrlProps/ctrlProp341.xml"/><Relationship Id="rId47" Type="http://schemas.openxmlformats.org/officeDocument/2006/relationships/ctrlProp" Target="../ctrlProps/ctrlProp346.xml"/><Relationship Id="rId63" Type="http://schemas.openxmlformats.org/officeDocument/2006/relationships/ctrlProp" Target="../ctrlProps/ctrlProp362.xml"/><Relationship Id="rId68" Type="http://schemas.openxmlformats.org/officeDocument/2006/relationships/ctrlProp" Target="../ctrlProps/ctrlProp367.xml"/><Relationship Id="rId84" Type="http://schemas.openxmlformats.org/officeDocument/2006/relationships/ctrlProp" Target="../ctrlProps/ctrlProp383.xml"/><Relationship Id="rId89" Type="http://schemas.openxmlformats.org/officeDocument/2006/relationships/ctrlProp" Target="../ctrlProps/ctrlProp388.xml"/><Relationship Id="rId16" Type="http://schemas.openxmlformats.org/officeDocument/2006/relationships/ctrlProp" Target="../ctrlProps/ctrlProp315.xml"/><Relationship Id="rId11" Type="http://schemas.openxmlformats.org/officeDocument/2006/relationships/ctrlProp" Target="../ctrlProps/ctrlProp310.xml"/><Relationship Id="rId32" Type="http://schemas.openxmlformats.org/officeDocument/2006/relationships/ctrlProp" Target="../ctrlProps/ctrlProp331.xml"/><Relationship Id="rId37" Type="http://schemas.openxmlformats.org/officeDocument/2006/relationships/ctrlProp" Target="../ctrlProps/ctrlProp336.xml"/><Relationship Id="rId53" Type="http://schemas.openxmlformats.org/officeDocument/2006/relationships/ctrlProp" Target="../ctrlProps/ctrlProp352.xml"/><Relationship Id="rId58" Type="http://schemas.openxmlformats.org/officeDocument/2006/relationships/ctrlProp" Target="../ctrlProps/ctrlProp357.xml"/><Relationship Id="rId74" Type="http://schemas.openxmlformats.org/officeDocument/2006/relationships/ctrlProp" Target="../ctrlProps/ctrlProp373.xml"/><Relationship Id="rId79" Type="http://schemas.openxmlformats.org/officeDocument/2006/relationships/ctrlProp" Target="../ctrlProps/ctrlProp378.xml"/><Relationship Id="rId5" Type="http://schemas.openxmlformats.org/officeDocument/2006/relationships/ctrlProp" Target="../ctrlProps/ctrlProp304.xml"/><Relationship Id="rId90" Type="http://schemas.openxmlformats.org/officeDocument/2006/relationships/ctrlProp" Target="../ctrlProps/ctrlProp389.xml"/><Relationship Id="rId95" Type="http://schemas.openxmlformats.org/officeDocument/2006/relationships/ctrlProp" Target="../ctrlProps/ctrlProp394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43" Type="http://schemas.openxmlformats.org/officeDocument/2006/relationships/ctrlProp" Target="../ctrlProps/ctrlProp342.xml"/><Relationship Id="rId48" Type="http://schemas.openxmlformats.org/officeDocument/2006/relationships/ctrlProp" Target="../ctrlProps/ctrlProp347.xml"/><Relationship Id="rId64" Type="http://schemas.openxmlformats.org/officeDocument/2006/relationships/ctrlProp" Target="../ctrlProps/ctrlProp363.xml"/><Relationship Id="rId69" Type="http://schemas.openxmlformats.org/officeDocument/2006/relationships/ctrlProp" Target="../ctrlProps/ctrlProp368.xml"/><Relationship Id="rId80" Type="http://schemas.openxmlformats.org/officeDocument/2006/relationships/ctrlProp" Target="../ctrlProps/ctrlProp379.xml"/><Relationship Id="rId85" Type="http://schemas.openxmlformats.org/officeDocument/2006/relationships/ctrlProp" Target="../ctrlProps/ctrlProp384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25" Type="http://schemas.openxmlformats.org/officeDocument/2006/relationships/ctrlProp" Target="../ctrlProps/ctrlProp324.xml"/><Relationship Id="rId33" Type="http://schemas.openxmlformats.org/officeDocument/2006/relationships/ctrlProp" Target="../ctrlProps/ctrlProp332.xml"/><Relationship Id="rId38" Type="http://schemas.openxmlformats.org/officeDocument/2006/relationships/ctrlProp" Target="../ctrlProps/ctrlProp337.xml"/><Relationship Id="rId46" Type="http://schemas.openxmlformats.org/officeDocument/2006/relationships/ctrlProp" Target="../ctrlProps/ctrlProp345.xml"/><Relationship Id="rId59" Type="http://schemas.openxmlformats.org/officeDocument/2006/relationships/ctrlProp" Target="../ctrlProps/ctrlProp358.xml"/><Relationship Id="rId67" Type="http://schemas.openxmlformats.org/officeDocument/2006/relationships/ctrlProp" Target="../ctrlProps/ctrlProp366.xml"/><Relationship Id="rId20" Type="http://schemas.openxmlformats.org/officeDocument/2006/relationships/ctrlProp" Target="../ctrlProps/ctrlProp319.xml"/><Relationship Id="rId41" Type="http://schemas.openxmlformats.org/officeDocument/2006/relationships/ctrlProp" Target="../ctrlProps/ctrlProp340.xml"/><Relationship Id="rId54" Type="http://schemas.openxmlformats.org/officeDocument/2006/relationships/ctrlProp" Target="../ctrlProps/ctrlProp353.xml"/><Relationship Id="rId62" Type="http://schemas.openxmlformats.org/officeDocument/2006/relationships/ctrlProp" Target="../ctrlProps/ctrlProp361.xml"/><Relationship Id="rId70" Type="http://schemas.openxmlformats.org/officeDocument/2006/relationships/ctrlProp" Target="../ctrlProps/ctrlProp369.xml"/><Relationship Id="rId75" Type="http://schemas.openxmlformats.org/officeDocument/2006/relationships/ctrlProp" Target="../ctrlProps/ctrlProp374.xml"/><Relationship Id="rId83" Type="http://schemas.openxmlformats.org/officeDocument/2006/relationships/ctrlProp" Target="../ctrlProps/ctrlProp382.xml"/><Relationship Id="rId88" Type="http://schemas.openxmlformats.org/officeDocument/2006/relationships/ctrlProp" Target="../ctrlProps/ctrlProp387.xml"/><Relationship Id="rId91" Type="http://schemas.openxmlformats.org/officeDocument/2006/relationships/ctrlProp" Target="../ctrlProps/ctrlProp390.xml"/><Relationship Id="rId96" Type="http://schemas.openxmlformats.org/officeDocument/2006/relationships/ctrlProp" Target="../ctrlProps/ctrlProp39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05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36" Type="http://schemas.openxmlformats.org/officeDocument/2006/relationships/ctrlProp" Target="../ctrlProps/ctrlProp335.xml"/><Relationship Id="rId49" Type="http://schemas.openxmlformats.org/officeDocument/2006/relationships/ctrlProp" Target="../ctrlProps/ctrlProp348.xml"/><Relationship Id="rId57" Type="http://schemas.openxmlformats.org/officeDocument/2006/relationships/ctrlProp" Target="../ctrlProps/ctrlProp356.xml"/><Relationship Id="rId10" Type="http://schemas.openxmlformats.org/officeDocument/2006/relationships/ctrlProp" Target="../ctrlProps/ctrlProp309.xml"/><Relationship Id="rId31" Type="http://schemas.openxmlformats.org/officeDocument/2006/relationships/ctrlProp" Target="../ctrlProps/ctrlProp330.xml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60" Type="http://schemas.openxmlformats.org/officeDocument/2006/relationships/ctrlProp" Target="../ctrlProps/ctrlProp359.xml"/><Relationship Id="rId65" Type="http://schemas.openxmlformats.org/officeDocument/2006/relationships/ctrlProp" Target="../ctrlProps/ctrlProp364.xml"/><Relationship Id="rId73" Type="http://schemas.openxmlformats.org/officeDocument/2006/relationships/ctrlProp" Target="../ctrlProps/ctrlProp372.xml"/><Relationship Id="rId78" Type="http://schemas.openxmlformats.org/officeDocument/2006/relationships/ctrlProp" Target="../ctrlProps/ctrlProp377.xml"/><Relationship Id="rId81" Type="http://schemas.openxmlformats.org/officeDocument/2006/relationships/ctrlProp" Target="../ctrlProps/ctrlProp380.xml"/><Relationship Id="rId86" Type="http://schemas.openxmlformats.org/officeDocument/2006/relationships/ctrlProp" Target="../ctrlProps/ctrlProp385.xml"/><Relationship Id="rId94" Type="http://schemas.openxmlformats.org/officeDocument/2006/relationships/ctrlProp" Target="../ctrlProps/ctrlProp393.xml"/><Relationship Id="rId99" Type="http://schemas.openxmlformats.org/officeDocument/2006/relationships/ctrlProp" Target="../ctrlProps/ctrlProp398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39" Type="http://schemas.openxmlformats.org/officeDocument/2006/relationships/ctrlProp" Target="../ctrlProps/ctrlProp338.xml"/><Relationship Id="rId34" Type="http://schemas.openxmlformats.org/officeDocument/2006/relationships/ctrlProp" Target="../ctrlProps/ctrlProp333.xml"/><Relationship Id="rId50" Type="http://schemas.openxmlformats.org/officeDocument/2006/relationships/ctrlProp" Target="../ctrlProps/ctrlProp349.xml"/><Relationship Id="rId55" Type="http://schemas.openxmlformats.org/officeDocument/2006/relationships/ctrlProp" Target="../ctrlProps/ctrlProp354.xml"/><Relationship Id="rId76" Type="http://schemas.openxmlformats.org/officeDocument/2006/relationships/ctrlProp" Target="../ctrlProps/ctrlProp375.xml"/><Relationship Id="rId97" Type="http://schemas.openxmlformats.org/officeDocument/2006/relationships/ctrlProp" Target="../ctrlProps/ctrlProp396.xml"/><Relationship Id="rId7" Type="http://schemas.openxmlformats.org/officeDocument/2006/relationships/ctrlProp" Target="../ctrlProps/ctrlProp306.xml"/><Relationship Id="rId71" Type="http://schemas.openxmlformats.org/officeDocument/2006/relationships/ctrlProp" Target="../ctrlProps/ctrlProp370.xml"/><Relationship Id="rId92" Type="http://schemas.openxmlformats.org/officeDocument/2006/relationships/ctrlProp" Target="../ctrlProps/ctrlProp391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328.xml"/><Relationship Id="rId24" Type="http://schemas.openxmlformats.org/officeDocument/2006/relationships/ctrlProp" Target="../ctrlProps/ctrlProp323.xml"/><Relationship Id="rId40" Type="http://schemas.openxmlformats.org/officeDocument/2006/relationships/ctrlProp" Target="../ctrlProps/ctrlProp339.xml"/><Relationship Id="rId45" Type="http://schemas.openxmlformats.org/officeDocument/2006/relationships/ctrlProp" Target="../ctrlProps/ctrlProp344.xml"/><Relationship Id="rId66" Type="http://schemas.openxmlformats.org/officeDocument/2006/relationships/ctrlProp" Target="../ctrlProps/ctrlProp365.xml"/><Relationship Id="rId87" Type="http://schemas.openxmlformats.org/officeDocument/2006/relationships/ctrlProp" Target="../ctrlProps/ctrlProp386.xml"/><Relationship Id="rId61" Type="http://schemas.openxmlformats.org/officeDocument/2006/relationships/ctrlProp" Target="../ctrlProps/ctrlProp360.xml"/><Relationship Id="rId82" Type="http://schemas.openxmlformats.org/officeDocument/2006/relationships/ctrlProp" Target="../ctrlProps/ctrlProp381.xml"/><Relationship Id="rId19" Type="http://schemas.openxmlformats.org/officeDocument/2006/relationships/ctrlProp" Target="../ctrlProps/ctrlProp318.xml"/><Relationship Id="rId14" Type="http://schemas.openxmlformats.org/officeDocument/2006/relationships/ctrlProp" Target="../ctrlProps/ctrlProp313.xml"/><Relationship Id="rId30" Type="http://schemas.openxmlformats.org/officeDocument/2006/relationships/ctrlProp" Target="../ctrlProps/ctrlProp329.xml"/><Relationship Id="rId35" Type="http://schemas.openxmlformats.org/officeDocument/2006/relationships/ctrlProp" Target="../ctrlProps/ctrlProp334.xml"/><Relationship Id="rId56" Type="http://schemas.openxmlformats.org/officeDocument/2006/relationships/ctrlProp" Target="../ctrlProps/ctrlProp355.xml"/><Relationship Id="rId77" Type="http://schemas.openxmlformats.org/officeDocument/2006/relationships/ctrlProp" Target="../ctrlProps/ctrlProp376.xml"/><Relationship Id="rId8" Type="http://schemas.openxmlformats.org/officeDocument/2006/relationships/ctrlProp" Target="../ctrlProps/ctrlProp307.xml"/><Relationship Id="rId51" Type="http://schemas.openxmlformats.org/officeDocument/2006/relationships/ctrlProp" Target="../ctrlProps/ctrlProp350.xml"/><Relationship Id="rId72" Type="http://schemas.openxmlformats.org/officeDocument/2006/relationships/ctrlProp" Target="../ctrlProps/ctrlProp371.xml"/><Relationship Id="rId93" Type="http://schemas.openxmlformats.org/officeDocument/2006/relationships/ctrlProp" Target="../ctrlProps/ctrlProp392.xml"/><Relationship Id="rId98" Type="http://schemas.openxmlformats.org/officeDocument/2006/relationships/ctrlProp" Target="../ctrlProps/ctrlProp39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H51"/>
  <sheetViews>
    <sheetView showGridLines="0" showRowColHeaders="0" tabSelected="1" zoomScaleNormal="100" workbookViewId="0">
      <selection activeCell="B20" sqref="B20:G21"/>
    </sheetView>
  </sheetViews>
  <sheetFormatPr defaultColWidth="0" defaultRowHeight="14.4" zeroHeight="1" x14ac:dyDescent="0.3"/>
  <cols>
    <col min="1" max="8" width="11.5546875" customWidth="1"/>
    <col min="9" max="16384" width="11.5546875" hidden="1"/>
  </cols>
  <sheetData>
    <row r="1" spans="1:7" x14ac:dyDescent="0.3">
      <c r="A1" s="4"/>
      <c r="B1" s="4"/>
      <c r="C1" s="4"/>
      <c r="D1" s="4"/>
      <c r="E1" s="4"/>
      <c r="F1" s="4"/>
      <c r="G1" s="4"/>
    </row>
    <row r="2" spans="1:7" x14ac:dyDescent="0.3">
      <c r="A2" s="4"/>
      <c r="B2" s="4"/>
      <c r="C2" s="4"/>
      <c r="D2" s="4"/>
      <c r="E2" s="4"/>
      <c r="F2" s="4"/>
      <c r="G2" s="4"/>
    </row>
    <row r="3" spans="1:7" x14ac:dyDescent="0.3">
      <c r="A3" s="4"/>
      <c r="B3" s="156"/>
      <c r="C3" s="157"/>
      <c r="D3" s="157"/>
      <c r="E3" s="157"/>
      <c r="F3" s="157"/>
      <c r="G3" s="157"/>
    </row>
    <row r="4" spans="1:7" x14ac:dyDescent="0.3">
      <c r="A4" s="4"/>
      <c r="B4" s="157"/>
      <c r="C4" s="157"/>
      <c r="D4" s="157"/>
      <c r="E4" s="157"/>
      <c r="F4" s="157"/>
      <c r="G4" s="157"/>
    </row>
    <row r="5" spans="1:7" x14ac:dyDescent="0.3">
      <c r="A5" s="4"/>
      <c r="B5" s="157"/>
      <c r="C5" s="157"/>
      <c r="D5" s="157"/>
      <c r="E5" s="157"/>
      <c r="F5" s="157"/>
      <c r="G5" s="157"/>
    </row>
    <row r="6" spans="1:7" x14ac:dyDescent="0.3">
      <c r="A6" s="4"/>
      <c r="B6" s="4"/>
      <c r="C6" s="4"/>
      <c r="D6" s="158"/>
      <c r="E6" s="159"/>
      <c r="F6" s="4"/>
      <c r="G6" s="4"/>
    </row>
    <row r="7" spans="1:7" x14ac:dyDescent="0.3">
      <c r="A7" s="4"/>
      <c r="B7" s="4"/>
      <c r="C7" s="4"/>
      <c r="D7" s="4"/>
      <c r="E7" s="4"/>
      <c r="F7" s="4"/>
      <c r="G7" s="4"/>
    </row>
    <row r="8" spans="1:7" x14ac:dyDescent="0.3">
      <c r="A8" s="4"/>
      <c r="B8" s="4"/>
      <c r="C8" s="4"/>
      <c r="D8" s="4"/>
      <c r="E8" s="4"/>
      <c r="F8" s="4"/>
      <c r="G8" s="4"/>
    </row>
    <row r="9" spans="1:7" x14ac:dyDescent="0.3">
      <c r="A9" s="4"/>
      <c r="B9" s="4"/>
      <c r="C9" s="4"/>
      <c r="D9" s="4"/>
      <c r="E9" s="4"/>
      <c r="F9" s="4"/>
      <c r="G9" s="4"/>
    </row>
    <row r="10" spans="1:7" x14ac:dyDescent="0.3">
      <c r="A10" s="4"/>
      <c r="B10" s="4"/>
      <c r="C10" s="4"/>
      <c r="D10" s="4"/>
      <c r="E10" s="4"/>
      <c r="F10" s="4"/>
      <c r="G10" s="4"/>
    </row>
    <row r="11" spans="1:7" x14ac:dyDescent="0.3">
      <c r="A11" s="4"/>
      <c r="B11" s="4"/>
      <c r="C11" s="4"/>
      <c r="D11" s="4"/>
      <c r="E11" s="4"/>
      <c r="F11" s="4"/>
      <c r="G11" s="4"/>
    </row>
    <row r="12" spans="1:7" x14ac:dyDescent="0.3">
      <c r="A12" s="4"/>
      <c r="B12" s="4"/>
      <c r="C12" s="4"/>
      <c r="D12" s="4"/>
      <c r="E12" s="4"/>
      <c r="F12" s="4"/>
      <c r="G12" s="4"/>
    </row>
    <row r="13" spans="1:7" x14ac:dyDescent="0.3">
      <c r="A13" s="4"/>
      <c r="B13" s="4"/>
      <c r="C13" s="4"/>
      <c r="D13" s="4"/>
      <c r="E13" s="4"/>
      <c r="F13" s="4"/>
      <c r="G13" s="4"/>
    </row>
    <row r="14" spans="1:7" x14ac:dyDescent="0.3">
      <c r="A14" s="4"/>
      <c r="B14" s="4"/>
      <c r="C14" s="4"/>
      <c r="D14" s="4"/>
      <c r="E14" s="4"/>
      <c r="F14" s="4"/>
      <c r="G14" s="4"/>
    </row>
    <row r="15" spans="1:7" x14ac:dyDescent="0.3">
      <c r="A15" s="4"/>
      <c r="B15" s="4"/>
      <c r="C15" s="4"/>
      <c r="D15" s="4"/>
      <c r="E15" s="4"/>
      <c r="F15" s="4"/>
      <c r="G15" s="4"/>
    </row>
    <row r="16" spans="1:7" x14ac:dyDescent="0.3">
      <c r="A16" s="4"/>
      <c r="B16" s="4"/>
      <c r="C16" s="4"/>
      <c r="D16" s="4"/>
      <c r="E16" s="4"/>
      <c r="F16" s="4"/>
      <c r="G16" s="4"/>
    </row>
    <row r="17" spans="1:7" x14ac:dyDescent="0.3">
      <c r="A17" s="4"/>
      <c r="B17" s="4"/>
      <c r="C17" s="4"/>
      <c r="D17" s="4"/>
      <c r="E17" s="4"/>
      <c r="F17" s="4"/>
      <c r="G17" s="4"/>
    </row>
    <row r="18" spans="1:7" x14ac:dyDescent="0.3">
      <c r="A18" s="4"/>
      <c r="B18" s="4"/>
      <c r="C18" s="4"/>
      <c r="D18" s="159"/>
      <c r="E18" s="159"/>
      <c r="F18" s="4"/>
      <c r="G18" s="4"/>
    </row>
    <row r="19" spans="1:7" hidden="1" x14ac:dyDescent="0.3">
      <c r="A19" s="4"/>
      <c r="B19" s="4"/>
      <c r="C19" s="4"/>
      <c r="D19" s="4"/>
      <c r="E19" s="4"/>
      <c r="F19" s="4"/>
      <c r="G19" s="4"/>
    </row>
    <row r="20" spans="1:7" x14ac:dyDescent="0.3">
      <c r="B20" s="160"/>
      <c r="C20" s="160"/>
      <c r="D20" s="160"/>
      <c r="E20" s="160"/>
      <c r="F20" s="160"/>
      <c r="G20" s="160"/>
    </row>
    <row r="21" spans="1:7" x14ac:dyDescent="0.3">
      <c r="B21" s="160"/>
      <c r="C21" s="160"/>
      <c r="D21" s="160"/>
      <c r="E21" s="160"/>
      <c r="F21" s="160"/>
      <c r="G21" s="160"/>
    </row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</sheetData>
  <sheetProtection algorithmName="SHA-512" hashValue="t1rMzGgAgufkjQjEvwIU7O1c2MQ3uk0wT1GuHYwDbv4nuGoBTmzdO9qMKARbX6MxK30oI4YEIu9JOPqeUD5kFA==" saltValue="eozqd7k8zHWVOiJ9At3I+Q==" spinCount="100000" sheet="1" objects="1" scenarios="1" selectLockedCells="1" selectUnlockedCells="1"/>
  <mergeCells count="4">
    <mergeCell ref="B3:G5"/>
    <mergeCell ref="D6:E6"/>
    <mergeCell ref="B20:G21"/>
    <mergeCell ref="D18:E18"/>
  </mergeCell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K62"/>
  <sheetViews>
    <sheetView showGridLines="0" showRowColHeaders="0" zoomScaleNormal="100" workbookViewId="0">
      <selection activeCell="C7" sqref="C7"/>
    </sheetView>
  </sheetViews>
  <sheetFormatPr defaultColWidth="0" defaultRowHeight="14.4" zeroHeight="1" x14ac:dyDescent="0.3"/>
  <cols>
    <col min="1" max="1" width="20.6640625" customWidth="1"/>
    <col min="2" max="2" width="47.109375" bestFit="1" customWidth="1"/>
    <col min="3" max="3" width="10.5546875" bestFit="1" customWidth="1"/>
    <col min="4" max="5" width="8.88671875" customWidth="1"/>
    <col min="6" max="9" width="8.88671875" hidden="1" customWidth="1"/>
    <col min="10" max="11" width="10.5546875" hidden="1" customWidth="1"/>
    <col min="12" max="16384" width="8.88671875" hidden="1"/>
  </cols>
  <sheetData>
    <row r="1" spans="1:10" x14ac:dyDescent="0.3">
      <c r="A1" s="4"/>
      <c r="B1" s="4"/>
      <c r="C1" s="4"/>
      <c r="D1" s="4"/>
      <c r="E1" s="4"/>
    </row>
    <row r="2" spans="1:10" x14ac:dyDescent="0.3">
      <c r="A2" s="4"/>
      <c r="B2" s="56"/>
      <c r="C2" s="4"/>
      <c r="D2" s="4"/>
      <c r="E2" s="4"/>
      <c r="H2" s="57"/>
    </row>
    <row r="3" spans="1:10" x14ac:dyDescent="0.3">
      <c r="A3" s="4"/>
      <c r="B3" s="162" t="s">
        <v>327</v>
      </c>
      <c r="C3" s="162"/>
      <c r="D3" s="4"/>
      <c r="E3" s="4"/>
    </row>
    <row r="4" spans="1:10" x14ac:dyDescent="0.3">
      <c r="A4" s="4"/>
      <c r="B4" s="77" t="s">
        <v>331</v>
      </c>
      <c r="C4" s="81"/>
      <c r="D4" s="4"/>
      <c r="E4" s="4"/>
      <c r="H4" s="57"/>
    </row>
    <row r="5" spans="1:10" x14ac:dyDescent="0.3">
      <c r="A5" s="4"/>
      <c r="B5" s="77" t="s">
        <v>330</v>
      </c>
      <c r="C5" s="82"/>
      <c r="D5" s="4"/>
      <c r="E5" s="4"/>
    </row>
    <row r="6" spans="1:10" ht="19.2" customHeight="1" x14ac:dyDescent="0.3">
      <c r="A6" s="4"/>
      <c r="B6" s="77" t="s">
        <v>329</v>
      </c>
      <c r="C6" s="83"/>
      <c r="D6" s="4"/>
      <c r="E6" s="4"/>
    </row>
    <row r="7" spans="1:10" ht="19.95" customHeight="1" x14ac:dyDescent="0.3">
      <c r="A7" s="4"/>
      <c r="B7" s="84" t="s">
        <v>432</v>
      </c>
      <c r="C7" s="81"/>
      <c r="D7" s="4"/>
      <c r="E7" s="4"/>
      <c r="J7" s="58"/>
    </row>
    <row r="8" spans="1:10" ht="22.2" customHeight="1" x14ac:dyDescent="0.3">
      <c r="A8" s="4"/>
      <c r="D8" s="4"/>
      <c r="E8" s="4"/>
    </row>
    <row r="9" spans="1:10" ht="18" customHeight="1" x14ac:dyDescent="0.3">
      <c r="A9" s="4"/>
      <c r="D9" s="4"/>
      <c r="E9" s="4"/>
    </row>
    <row r="10" spans="1:10" ht="18" customHeight="1" x14ac:dyDescent="0.3">
      <c r="A10" s="4"/>
      <c r="B10" s="3"/>
      <c r="C10" s="59"/>
      <c r="D10" s="4"/>
      <c r="E10" s="4"/>
    </row>
    <row r="11" spans="1:10" ht="18" customHeight="1" x14ac:dyDescent="0.3">
      <c r="A11" s="4"/>
      <c r="B11" s="3"/>
      <c r="C11" s="59"/>
      <c r="D11" s="4"/>
      <c r="E11" s="4"/>
    </row>
    <row r="12" spans="1:10" ht="18" customHeight="1" x14ac:dyDescent="0.3">
      <c r="A12" s="4"/>
      <c r="B12" s="3"/>
      <c r="C12" s="59"/>
      <c r="D12" s="4"/>
      <c r="E12" s="4"/>
    </row>
    <row r="13" spans="1:10" ht="18" customHeight="1" x14ac:dyDescent="0.3">
      <c r="A13" s="4"/>
      <c r="B13" s="3"/>
      <c r="C13" s="59"/>
      <c r="D13" s="4"/>
      <c r="E13" s="4"/>
    </row>
    <row r="14" spans="1:10" ht="18" customHeight="1" x14ac:dyDescent="0.3">
      <c r="A14" s="4"/>
      <c r="B14" s="3"/>
      <c r="C14" s="59"/>
      <c r="D14" s="4"/>
      <c r="E14" s="4"/>
    </row>
    <row r="15" spans="1:10" ht="18" customHeight="1" x14ac:dyDescent="0.3">
      <c r="A15" s="4"/>
      <c r="B15" s="3"/>
      <c r="C15" s="59"/>
      <c r="D15" s="4"/>
      <c r="E15" s="4"/>
    </row>
    <row r="16" spans="1:10" ht="18" customHeight="1" x14ac:dyDescent="0.3">
      <c r="A16" s="4"/>
      <c r="B16" s="3"/>
      <c r="C16" s="59"/>
      <c r="D16" s="4"/>
      <c r="E16" s="4"/>
    </row>
    <row r="17" spans="1:5" ht="18" customHeight="1" x14ac:dyDescent="0.3"/>
    <row r="18" spans="1:5" hidden="1" x14ac:dyDescent="0.3">
      <c r="A18" s="4"/>
      <c r="B18" s="59"/>
      <c r="C18" s="161"/>
      <c r="D18" s="4"/>
      <c r="E18" s="4"/>
    </row>
    <row r="19" spans="1:5" hidden="1" x14ac:dyDescent="0.3">
      <c r="A19" s="4"/>
      <c r="B19" s="4"/>
      <c r="C19" s="161"/>
      <c r="D19" s="4"/>
      <c r="E19" s="4"/>
    </row>
    <row r="20" spans="1:5" hidden="1" x14ac:dyDescent="0.3">
      <c r="A20" s="4"/>
      <c r="B20" s="4"/>
      <c r="C20" s="4"/>
      <c r="D20" s="4"/>
      <c r="E20" s="4"/>
    </row>
    <row r="21" spans="1:5" hidden="1" x14ac:dyDescent="0.3">
      <c r="A21" s="4"/>
      <c r="B21" s="4"/>
      <c r="C21" s="4"/>
      <c r="D21" s="4"/>
      <c r="E21" s="4"/>
    </row>
    <row r="42" spans="1:1" ht="31.2" hidden="1" customHeight="1" x14ac:dyDescent="0.3">
      <c r="A42" s="60"/>
    </row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</sheetData>
  <sheetProtection algorithmName="SHA-512" hashValue="kEKuBFUXElwFWGX3jwZbOvbSdLNilY0Q+7bj6mhPCIOlyegf1msZf0pGeYoA9U5AiXxBKEPbJ8TzUWrAfRoppg==" saltValue="5//PIcq+YNOM++BPG8YiGQ==" spinCount="100000" sheet="1" objects="1" scenarios="1" selectLockedCells="1"/>
  <mergeCells count="2">
    <mergeCell ref="C18:C19"/>
    <mergeCell ref="B3:C3"/>
  </mergeCells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XFC24"/>
  <sheetViews>
    <sheetView showGridLines="0" showRowColHeaders="0" zoomScaleNormal="100" workbookViewId="0">
      <selection activeCell="D4" sqref="D4"/>
    </sheetView>
  </sheetViews>
  <sheetFormatPr defaultColWidth="0" defaultRowHeight="14.4" zeroHeight="1" x14ac:dyDescent="0.3"/>
  <cols>
    <col min="1" max="1" width="20.6640625" customWidth="1"/>
    <col min="2" max="2" width="10.6640625" customWidth="1"/>
    <col min="3" max="3" width="30.6640625" customWidth="1"/>
    <col min="4" max="4" width="40.6640625" customWidth="1"/>
    <col min="5" max="5" width="10.6640625" customWidth="1"/>
    <col min="6" max="8" width="7.5546875" style="19" hidden="1"/>
    <col min="9" max="16383" width="7.5546875" hidden="1"/>
    <col min="16384" max="16384" width="4.6640625" hidden="1"/>
  </cols>
  <sheetData>
    <row r="1" spans="1:10" x14ac:dyDescent="0.3">
      <c r="A1" s="4"/>
      <c r="B1" s="4"/>
      <c r="C1" s="4"/>
      <c r="D1" s="4"/>
      <c r="E1" s="4"/>
    </row>
    <row r="2" spans="1:10" x14ac:dyDescent="0.3">
      <c r="A2" s="4"/>
      <c r="B2" s="61"/>
      <c r="C2" s="62"/>
      <c r="D2" s="4"/>
      <c r="E2" s="4"/>
    </row>
    <row r="3" spans="1:10" ht="15" customHeight="1" x14ac:dyDescent="0.3">
      <c r="A3" s="4"/>
      <c r="B3" s="163" t="s">
        <v>416</v>
      </c>
      <c r="C3" s="164"/>
      <c r="D3" s="165"/>
      <c r="E3" s="4"/>
    </row>
    <row r="4" spans="1:10" x14ac:dyDescent="0.3">
      <c r="A4" s="4"/>
      <c r="B4" s="89">
        <v>1</v>
      </c>
      <c r="C4" s="153" t="s">
        <v>430</v>
      </c>
      <c r="D4" s="76"/>
      <c r="E4" s="4"/>
      <c r="F4" s="20" t="s">
        <v>18</v>
      </c>
      <c r="G4" s="20" t="s">
        <v>4</v>
      </c>
      <c r="H4" s="20" t="s">
        <v>5</v>
      </c>
    </row>
    <row r="5" spans="1:10" ht="34.200000000000003" customHeight="1" x14ac:dyDescent="0.3">
      <c r="A5" s="4"/>
      <c r="B5" s="166">
        <v>2</v>
      </c>
      <c r="C5" s="167" t="s">
        <v>332</v>
      </c>
      <c r="D5" s="78"/>
      <c r="E5" s="4"/>
      <c r="F5" s="19" t="s">
        <v>7</v>
      </c>
      <c r="G5" s="19">
        <v>0</v>
      </c>
      <c r="H5" s="21" t="b">
        <f>IF(G5=1,0.1,IF(G5=2,0.3,IF(G5=3,1)))</f>
        <v>0</v>
      </c>
    </row>
    <row r="6" spans="1:10" ht="21.6" customHeight="1" x14ac:dyDescent="0.3">
      <c r="A6" s="4"/>
      <c r="B6" s="166"/>
      <c r="C6" s="167"/>
      <c r="D6" s="79"/>
      <c r="E6" s="4"/>
    </row>
    <row r="7" spans="1:10" ht="23.4" customHeight="1" x14ac:dyDescent="0.3">
      <c r="A7" s="4"/>
      <c r="B7" s="166"/>
      <c r="C7" s="167"/>
      <c r="D7" s="79"/>
      <c r="E7" s="4"/>
    </row>
    <row r="8" spans="1:10" ht="18" customHeight="1" x14ac:dyDescent="0.3">
      <c r="A8" s="4"/>
      <c r="B8" s="166">
        <v>3</v>
      </c>
      <c r="C8" s="167" t="s">
        <v>333</v>
      </c>
      <c r="D8" s="78"/>
      <c r="E8" s="4"/>
      <c r="F8" s="22"/>
      <c r="I8" s="13"/>
    </row>
    <row r="9" spans="1:10" ht="30" customHeight="1" x14ac:dyDescent="0.3">
      <c r="A9" s="4"/>
      <c r="B9" s="166"/>
      <c r="C9" s="167"/>
      <c r="D9" s="79"/>
      <c r="E9" s="63"/>
      <c r="F9" s="22" t="s">
        <v>8</v>
      </c>
      <c r="G9" s="49">
        <v>0</v>
      </c>
      <c r="H9" s="50" t="b">
        <f>IF(G9=1,0.1,IF(G9=2,0.3,IF(G9=3,1)))</f>
        <v>0</v>
      </c>
    </row>
    <row r="10" spans="1:10" ht="31.2" customHeight="1" x14ac:dyDescent="0.3">
      <c r="A10" s="4"/>
      <c r="B10" s="166"/>
      <c r="C10" s="167"/>
      <c r="D10" s="79"/>
      <c r="E10" s="4"/>
      <c r="F10" s="22"/>
    </row>
    <row r="11" spans="1:10" ht="24" customHeight="1" x14ac:dyDescent="0.3">
      <c r="A11" s="4"/>
      <c r="B11" s="166">
        <v>4</v>
      </c>
      <c r="C11" s="167" t="s">
        <v>334</v>
      </c>
      <c r="D11" s="78"/>
      <c r="E11" s="4"/>
    </row>
    <row r="12" spans="1:10" ht="21" customHeight="1" x14ac:dyDescent="0.3">
      <c r="A12" s="4"/>
      <c r="B12" s="166"/>
      <c r="C12" s="167"/>
      <c r="D12" s="79"/>
      <c r="E12" s="4"/>
      <c r="F12" s="19" t="s">
        <v>33</v>
      </c>
      <c r="G12" s="19">
        <v>0</v>
      </c>
      <c r="H12" s="21" t="b">
        <f>IF(G12=1,0.1,IF(G12=2,0.3,IF(G12=3,1)))</f>
        <v>0</v>
      </c>
    </row>
    <row r="13" spans="1:10" ht="34.950000000000003" customHeight="1" x14ac:dyDescent="0.3">
      <c r="A13" s="4"/>
      <c r="B13" s="166"/>
      <c r="C13" s="167"/>
      <c r="D13" s="79"/>
      <c r="E13" s="4"/>
    </row>
    <row r="14" spans="1:10" ht="23.4" customHeight="1" thickBot="1" x14ac:dyDescent="0.35">
      <c r="A14" s="4"/>
      <c r="B14" s="166">
        <v>5</v>
      </c>
      <c r="C14" s="167" t="s">
        <v>335</v>
      </c>
      <c r="D14" s="78"/>
      <c r="E14" s="4"/>
    </row>
    <row r="15" spans="1:10" ht="21" customHeight="1" thickBot="1" x14ac:dyDescent="0.35">
      <c r="A15" s="4"/>
      <c r="B15" s="166"/>
      <c r="C15" s="167"/>
      <c r="D15" s="79"/>
      <c r="E15" s="4"/>
      <c r="F15" s="19" t="s">
        <v>34</v>
      </c>
      <c r="G15" s="19">
        <v>0</v>
      </c>
      <c r="H15" s="21" t="b">
        <f>IF(G15=1,0.1,IF(G15=2,0.3,IF(G15=3,1)))</f>
        <v>0</v>
      </c>
      <c r="I15" s="46" t="s">
        <v>55</v>
      </c>
      <c r="J15" s="47">
        <f>(H5+H9+H12+H15)/4</f>
        <v>0</v>
      </c>
    </row>
    <row r="16" spans="1:10" ht="30.6" customHeight="1" x14ac:dyDescent="0.3">
      <c r="A16" s="4"/>
      <c r="B16" s="166"/>
      <c r="C16" s="167"/>
      <c r="D16" s="80"/>
      <c r="E16" s="4"/>
    </row>
    <row r="17" spans="1:8" ht="30.6" customHeight="1" x14ac:dyDescent="0.3">
      <c r="A17" s="4"/>
      <c r="B17" s="64"/>
      <c r="C17" s="59"/>
      <c r="D17" s="59"/>
      <c r="E17" s="4"/>
    </row>
    <row r="18" spans="1:8" x14ac:dyDescent="0.3">
      <c r="A18" s="4"/>
      <c r="B18" s="3"/>
      <c r="C18" s="4"/>
      <c r="D18" s="4"/>
      <c r="E18" s="4"/>
      <c r="H18" s="21"/>
    </row>
    <row r="19" spans="1:8" hidden="1" x14ac:dyDescent="0.3">
      <c r="A19" s="4"/>
      <c r="B19" s="4"/>
      <c r="C19" s="4"/>
      <c r="D19" s="4"/>
      <c r="E19" s="4"/>
    </row>
    <row r="20" spans="1:8" hidden="1" x14ac:dyDescent="0.3">
      <c r="A20" s="4"/>
      <c r="B20" s="4"/>
      <c r="C20" s="4"/>
      <c r="D20" s="4"/>
    </row>
    <row r="21" spans="1:8" hidden="1" x14ac:dyDescent="0.3">
      <c r="A21" s="4"/>
      <c r="B21" s="5"/>
      <c r="C21" s="4"/>
      <c r="D21" s="4"/>
    </row>
    <row r="22" spans="1:8" hidden="1" x14ac:dyDescent="0.3">
      <c r="A22" s="4"/>
      <c r="B22" s="5"/>
      <c r="C22" s="4"/>
      <c r="D22" s="4"/>
    </row>
    <row r="23" spans="1:8" hidden="1" x14ac:dyDescent="0.3">
      <c r="A23" s="4"/>
      <c r="B23" s="3"/>
      <c r="C23" s="4"/>
      <c r="D23" s="4"/>
    </row>
    <row r="24" spans="1:8" hidden="1" x14ac:dyDescent="0.3">
      <c r="A24" s="4"/>
      <c r="B24" s="4"/>
      <c r="C24" s="4"/>
      <c r="D24" s="4"/>
    </row>
  </sheetData>
  <sheetProtection algorithmName="SHA-512" hashValue="GmUMS1YGM775SSISxWNY72xVYwROzekHIS7mBqlhRqxTB0V2eqUheWRraT50AqB/h8MtWCNlOWAjCCmcJAFx5A==" saltValue="su89/sejOv1S+RgpSL8/PQ==" spinCount="100000" sheet="1" objects="1" scenarios="1" selectLockedCells="1"/>
  <mergeCells count="9">
    <mergeCell ref="B3:D3"/>
    <mergeCell ref="B11:B13"/>
    <mergeCell ref="C11:C13"/>
    <mergeCell ref="B14:B16"/>
    <mergeCell ref="C14:C16"/>
    <mergeCell ref="B5:B7"/>
    <mergeCell ref="C5:C7"/>
    <mergeCell ref="B8:B10"/>
    <mergeCell ref="C8:C10"/>
  </mergeCells>
  <dataValidations disablePrompts="1" count="1">
    <dataValidation type="list" allowBlank="1" showInputMessage="1" showErrorMessage="1" sqref="C20" xr:uid="{00000000-0002-0000-0200-000000000000}">
      <formula1>#REF!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_1">
              <controlPr defaultSize="0" autoFill="0" autoLine="0" autoPict="0">
                <anchor moveWithCells="1">
                  <from>
                    <xdr:col>3</xdr:col>
                    <xdr:colOff>175260</xdr:colOff>
                    <xdr:row>4</xdr:row>
                    <xdr:rowOff>251460</xdr:rowOff>
                  </from>
                  <to>
                    <xdr:col>3</xdr:col>
                    <xdr:colOff>1699260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_2">
              <controlPr defaultSize="0" autoFill="0" autoLine="0" autoPict="0">
                <anchor moveWithCells="1">
                  <from>
                    <xdr:col>3</xdr:col>
                    <xdr:colOff>175260</xdr:colOff>
                    <xdr:row>5</xdr:row>
                    <xdr:rowOff>22860</xdr:rowOff>
                  </from>
                  <to>
                    <xdr:col>3</xdr:col>
                    <xdr:colOff>1699260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B_3">
              <controlPr defaultSize="0" autoFill="0" autoLine="0" autoPict="0">
                <anchor moveWithCells="1">
                  <from>
                    <xdr:col>3</xdr:col>
                    <xdr:colOff>175260</xdr:colOff>
                    <xdr:row>5</xdr:row>
                    <xdr:rowOff>220980</xdr:rowOff>
                  </from>
                  <to>
                    <xdr:col>3</xdr:col>
                    <xdr:colOff>1699260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Group Box 5">
              <controlPr defaultSize="0" autoFill="0" autoPict="0">
                <anchor moveWithCells="1">
                  <from>
                    <xdr:col>3</xdr:col>
                    <xdr:colOff>99060</xdr:colOff>
                    <xdr:row>4</xdr:row>
                    <xdr:rowOff>137160</xdr:rowOff>
                  </from>
                  <to>
                    <xdr:col>3</xdr:col>
                    <xdr:colOff>2080260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8" name="B_4">
              <controlPr defaultSize="0" autoFill="0" autoLine="0" autoPict="0">
                <anchor moveWithCells="1">
                  <from>
                    <xdr:col>3</xdr:col>
                    <xdr:colOff>175260</xdr:colOff>
                    <xdr:row>8</xdr:row>
                    <xdr:rowOff>0</xdr:rowOff>
                  </from>
                  <to>
                    <xdr:col>3</xdr:col>
                    <xdr:colOff>1699260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9" name="B_5">
              <controlPr defaultSize="0" autoFill="0" autoLine="0" autoPict="0">
                <anchor moveWithCells="1">
                  <from>
                    <xdr:col>3</xdr:col>
                    <xdr:colOff>175260</xdr:colOff>
                    <xdr:row>8</xdr:row>
                    <xdr:rowOff>213360</xdr:rowOff>
                  </from>
                  <to>
                    <xdr:col>3</xdr:col>
                    <xdr:colOff>1699260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0" name="B_6">
              <controlPr defaultSize="0" autoFill="0" autoLine="0" autoPict="0">
                <anchor moveWithCells="1">
                  <from>
                    <xdr:col>3</xdr:col>
                    <xdr:colOff>175260</xdr:colOff>
                    <xdr:row>9</xdr:row>
                    <xdr:rowOff>22860</xdr:rowOff>
                  </from>
                  <to>
                    <xdr:col>3</xdr:col>
                    <xdr:colOff>1699260</xdr:colOff>
                    <xdr:row>9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1" name="Group Box 10">
              <controlPr defaultSize="0" autoFill="0" autoPict="0">
                <anchor moveWithCells="1">
                  <from>
                    <xdr:col>3</xdr:col>
                    <xdr:colOff>99060</xdr:colOff>
                    <xdr:row>7</xdr:row>
                    <xdr:rowOff>106680</xdr:rowOff>
                  </from>
                  <to>
                    <xdr:col>3</xdr:col>
                    <xdr:colOff>2080260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2" name="B_7">
              <controlPr defaultSize="0" autoFill="0" autoLine="0" autoPict="0">
                <anchor moveWithCells="1">
                  <from>
                    <xdr:col>3</xdr:col>
                    <xdr:colOff>175260</xdr:colOff>
                    <xdr:row>10</xdr:row>
                    <xdr:rowOff>228600</xdr:rowOff>
                  </from>
                  <to>
                    <xdr:col>3</xdr:col>
                    <xdr:colOff>1699260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3" name="B_8">
              <controlPr defaultSize="0" autoFill="0" autoLine="0" autoPict="0">
                <anchor moveWithCells="1">
                  <from>
                    <xdr:col>3</xdr:col>
                    <xdr:colOff>175260</xdr:colOff>
                    <xdr:row>11</xdr:row>
                    <xdr:rowOff>137160</xdr:rowOff>
                  </from>
                  <to>
                    <xdr:col>3</xdr:col>
                    <xdr:colOff>1699260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4" name="B_9">
              <controlPr defaultSize="0" autoFill="0" autoLine="0" autoPict="0">
                <anchor moveWithCells="1">
                  <from>
                    <xdr:col>3</xdr:col>
                    <xdr:colOff>175260</xdr:colOff>
                    <xdr:row>12</xdr:row>
                    <xdr:rowOff>60960</xdr:rowOff>
                  </from>
                  <to>
                    <xdr:col>3</xdr:col>
                    <xdr:colOff>1699260</xdr:colOff>
                    <xdr:row>12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5" name="Group Box 15">
              <controlPr defaultSize="0" autoFill="0" autoPict="0">
                <anchor moveWithCells="1">
                  <from>
                    <xdr:col>3</xdr:col>
                    <xdr:colOff>99060</xdr:colOff>
                    <xdr:row>10</xdr:row>
                    <xdr:rowOff>106680</xdr:rowOff>
                  </from>
                  <to>
                    <xdr:col>3</xdr:col>
                    <xdr:colOff>2080260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6" name="B_10">
              <controlPr defaultSize="0" autoFill="0" autoLine="0" autoPict="0">
                <anchor moveWithCells="1">
                  <from>
                    <xdr:col>3</xdr:col>
                    <xdr:colOff>175260</xdr:colOff>
                    <xdr:row>13</xdr:row>
                    <xdr:rowOff>213360</xdr:rowOff>
                  </from>
                  <to>
                    <xdr:col>3</xdr:col>
                    <xdr:colOff>1699260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7" name="B_11">
              <controlPr defaultSize="0" autoFill="0" autoLine="0" autoPict="0">
                <anchor moveWithCells="1">
                  <from>
                    <xdr:col>3</xdr:col>
                    <xdr:colOff>175260</xdr:colOff>
                    <xdr:row>14</xdr:row>
                    <xdr:rowOff>121920</xdr:rowOff>
                  </from>
                  <to>
                    <xdr:col>3</xdr:col>
                    <xdr:colOff>1699260</xdr:colOff>
                    <xdr:row>15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8" name="B_12">
              <controlPr defaultSize="0" autoFill="0" autoLine="0" autoPict="0">
                <anchor moveWithCells="1">
                  <from>
                    <xdr:col>3</xdr:col>
                    <xdr:colOff>175260</xdr:colOff>
                    <xdr:row>15</xdr:row>
                    <xdr:rowOff>60960</xdr:rowOff>
                  </from>
                  <to>
                    <xdr:col>3</xdr:col>
                    <xdr:colOff>1699260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9" name="Group Box 19">
              <controlPr defaultSize="0" autoFill="0" autoPict="0">
                <anchor moveWithCells="1">
                  <from>
                    <xdr:col>3</xdr:col>
                    <xdr:colOff>99060</xdr:colOff>
                    <xdr:row>13</xdr:row>
                    <xdr:rowOff>99060</xdr:rowOff>
                  </from>
                  <to>
                    <xdr:col>3</xdr:col>
                    <xdr:colOff>2080260</xdr:colOff>
                    <xdr:row>15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pageSetUpPr fitToPage="1"/>
  </sheetPr>
  <dimension ref="A1:XFC14"/>
  <sheetViews>
    <sheetView showGridLines="0" showRowColHeaders="0" zoomScaleNormal="100" workbookViewId="0">
      <selection activeCell="D4" sqref="D4"/>
    </sheetView>
  </sheetViews>
  <sheetFormatPr defaultColWidth="0" defaultRowHeight="14.4" zeroHeight="1" x14ac:dyDescent="0.3"/>
  <cols>
    <col min="1" max="1" width="20.6640625" customWidth="1"/>
    <col min="2" max="2" width="10.6640625" style="8" customWidth="1"/>
    <col min="3" max="3" width="30.6640625" customWidth="1"/>
    <col min="4" max="4" width="40.6640625" customWidth="1"/>
    <col min="5" max="5" width="10.6640625" customWidth="1"/>
    <col min="6" max="6" width="7.33203125" style="13" hidden="1"/>
    <col min="7" max="7" width="6.109375" style="13" hidden="1"/>
    <col min="8" max="8" width="10.33203125" hidden="1"/>
    <col min="9" max="9" width="9.5546875" hidden="1"/>
    <col min="10" max="16382" width="2.88671875" hidden="1"/>
    <col min="16383" max="16383" width="0.5546875" hidden="1"/>
    <col min="16384" max="16384" width="3.6640625" hidden="1"/>
  </cols>
  <sheetData>
    <row r="1" spans="1:9" s="4" customFormat="1" x14ac:dyDescent="0.3">
      <c r="B1" s="85"/>
      <c r="F1" s="23"/>
      <c r="G1" s="23"/>
    </row>
    <row r="2" spans="1:9" x14ac:dyDescent="0.3">
      <c r="A2" s="4"/>
      <c r="B2" s="86"/>
      <c r="D2" s="4"/>
      <c r="E2" s="4"/>
    </row>
    <row r="3" spans="1:9" x14ac:dyDescent="0.3">
      <c r="A3" s="4"/>
      <c r="B3" s="168" t="s">
        <v>417</v>
      </c>
      <c r="C3" s="169"/>
      <c r="D3" s="170"/>
      <c r="E3" s="66"/>
    </row>
    <row r="4" spans="1:9" x14ac:dyDescent="0.3">
      <c r="A4" s="4"/>
      <c r="B4" s="154">
        <v>1</v>
      </c>
      <c r="C4" s="153" t="s">
        <v>431</v>
      </c>
      <c r="D4" s="76"/>
      <c r="E4" s="4"/>
      <c r="F4" s="14" t="s">
        <v>4</v>
      </c>
      <c r="G4" s="14" t="s">
        <v>5</v>
      </c>
    </row>
    <row r="5" spans="1:9" ht="56.4" customHeight="1" x14ac:dyDescent="0.3">
      <c r="A5" s="4"/>
      <c r="B5" s="88">
        <v>2</v>
      </c>
      <c r="C5" s="77" t="s">
        <v>336</v>
      </c>
      <c r="D5" s="77"/>
      <c r="E5" s="4"/>
      <c r="F5" s="24">
        <v>0</v>
      </c>
      <c r="G5" s="24" t="b">
        <f>IF(F5=1,1,IF(F5=2,0.3))</f>
        <v>0</v>
      </c>
    </row>
    <row r="6" spans="1:9" ht="63" customHeight="1" thickBot="1" x14ac:dyDescent="0.35">
      <c r="A6" s="4"/>
      <c r="B6" s="89">
        <v>3</v>
      </c>
      <c r="C6" s="77" t="s">
        <v>338</v>
      </c>
      <c r="D6" s="77"/>
      <c r="E6" s="63"/>
      <c r="F6" s="24">
        <v>0</v>
      </c>
      <c r="G6" s="24" t="b">
        <f>IF(F6=1,1,IF(F6=2,3))</f>
        <v>0</v>
      </c>
    </row>
    <row r="7" spans="1:9" ht="59.4" customHeight="1" thickBot="1" x14ac:dyDescent="0.35">
      <c r="A7" s="4"/>
      <c r="B7" s="89">
        <v>4</v>
      </c>
      <c r="C7" s="77" t="s">
        <v>337</v>
      </c>
      <c r="D7" s="77"/>
      <c r="E7" s="4"/>
      <c r="F7" s="24">
        <v>0</v>
      </c>
      <c r="G7" s="24" t="b">
        <f>IF(F7=1,1,IF(F7=2,0.3))</f>
        <v>0</v>
      </c>
      <c r="H7" s="44" t="s">
        <v>172</v>
      </c>
      <c r="I7" s="45">
        <f>G5*G6*G7</f>
        <v>0</v>
      </c>
    </row>
    <row r="8" spans="1:9" ht="110.4" customHeight="1" thickBot="1" x14ac:dyDescent="0.35">
      <c r="A8" s="4"/>
      <c r="B8" s="90">
        <v>5</v>
      </c>
      <c r="C8" s="77" t="s">
        <v>339</v>
      </c>
      <c r="D8" s="87"/>
      <c r="E8" s="4"/>
      <c r="F8" s="24">
        <v>0</v>
      </c>
      <c r="G8" s="24">
        <f>IF(F8=1,1,IF(F8=2,0.3,IF(3,0.1)))</f>
        <v>0.1</v>
      </c>
      <c r="H8" s="44" t="s">
        <v>173</v>
      </c>
      <c r="I8" s="45">
        <f>G8</f>
        <v>0.1</v>
      </c>
    </row>
    <row r="9" spans="1:9" ht="35.25" customHeight="1" x14ac:dyDescent="0.3">
      <c r="A9" s="4"/>
      <c r="B9" s="67"/>
      <c r="C9" s="59"/>
      <c r="D9" s="4"/>
      <c r="E9" s="4"/>
      <c r="F9" s="24"/>
      <c r="G9" s="24"/>
    </row>
    <row r="10" spans="1:9" x14ac:dyDescent="0.3"/>
    <row r="11" spans="1:9" ht="15" hidden="1" customHeight="1" thickBot="1" x14ac:dyDescent="0.35">
      <c r="G11" s="25"/>
    </row>
    <row r="12" spans="1:9" ht="14.4" hidden="1" customHeight="1" x14ac:dyDescent="0.3">
      <c r="D12" s="7"/>
    </row>
    <row r="13" spans="1:9" ht="14.4" hidden="1" customHeight="1" x14ac:dyDescent="0.3">
      <c r="D13" s="7"/>
    </row>
    <row r="14" spans="1:9" ht="14.4" hidden="1" customHeight="1" x14ac:dyDescent="0.3">
      <c r="D14" s="7"/>
    </row>
  </sheetData>
  <sheetProtection algorithmName="SHA-512" hashValue="IKf67alLrqS7HxXK2vtQVZPM4PcOmIEamAMQVoI15IduuPeZTIBxkWrvOUbwmERQHarFv/Rdg0RnqCqLQbvLcQ==" saltValue="XFhbT4RDKIyuKcK7h/3uqQ==" spinCount="100000" sheet="1" objects="1" scenarios="1" selectLockedCells="1"/>
  <mergeCells count="1">
    <mergeCell ref="B3:D3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_1">
              <controlPr defaultSize="0" autoFill="0" autoLine="0" autoPict="0">
                <anchor moveWithCells="1">
                  <from>
                    <xdr:col>3</xdr:col>
                    <xdr:colOff>137160</xdr:colOff>
                    <xdr:row>4</xdr:row>
                    <xdr:rowOff>190500</xdr:rowOff>
                  </from>
                  <to>
                    <xdr:col>3</xdr:col>
                    <xdr:colOff>1135380</xdr:colOff>
                    <xdr:row>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B_2">
              <controlPr defaultSize="0" autoFill="0" autoLine="0" autoPict="0">
                <anchor moveWithCells="1">
                  <from>
                    <xdr:col>3</xdr:col>
                    <xdr:colOff>144780</xdr:colOff>
                    <xdr:row>4</xdr:row>
                    <xdr:rowOff>388620</xdr:rowOff>
                  </from>
                  <to>
                    <xdr:col>3</xdr:col>
                    <xdr:colOff>1143000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6" name="Group Box 9">
              <controlPr defaultSize="0" autoFill="0" autoPict="0">
                <anchor moveWithCells="1">
                  <from>
                    <xdr:col>3</xdr:col>
                    <xdr:colOff>68580</xdr:colOff>
                    <xdr:row>4</xdr:row>
                    <xdr:rowOff>60960</xdr:rowOff>
                  </from>
                  <to>
                    <xdr:col>3</xdr:col>
                    <xdr:colOff>1630680</xdr:colOff>
                    <xdr:row>4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_3">
              <controlPr defaultSize="0" autoFill="0" autoLine="0" autoPict="0">
                <anchor moveWithCells="1">
                  <from>
                    <xdr:col>3</xdr:col>
                    <xdr:colOff>137160</xdr:colOff>
                    <xdr:row>5</xdr:row>
                    <xdr:rowOff>251460</xdr:rowOff>
                  </from>
                  <to>
                    <xdr:col>3</xdr:col>
                    <xdr:colOff>1135380</xdr:colOff>
                    <xdr:row>5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_4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449580</xdr:rowOff>
                  </from>
                  <to>
                    <xdr:col>3</xdr:col>
                    <xdr:colOff>1143000</xdr:colOff>
                    <xdr:row>5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9" name="Group Box 13">
              <controlPr defaultSize="0" autoFill="0" autoPict="0">
                <anchor moveWithCells="1">
                  <from>
                    <xdr:col>3</xdr:col>
                    <xdr:colOff>68580</xdr:colOff>
                    <xdr:row>5</xdr:row>
                    <xdr:rowOff>121920</xdr:rowOff>
                  </from>
                  <to>
                    <xdr:col>3</xdr:col>
                    <xdr:colOff>1630680</xdr:colOff>
                    <xdr:row>5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B_5">
              <controlPr defaultSize="0" autoFill="0" autoLine="0" autoPict="0">
                <anchor moveWithCells="1">
                  <from>
                    <xdr:col>3</xdr:col>
                    <xdr:colOff>137160</xdr:colOff>
                    <xdr:row>6</xdr:row>
                    <xdr:rowOff>213360</xdr:rowOff>
                  </from>
                  <to>
                    <xdr:col>3</xdr:col>
                    <xdr:colOff>1135380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B_6">
              <controlPr defaultSize="0" autoFill="0" autoLine="0" autoPict="0">
                <anchor moveWithCells="1">
                  <from>
                    <xdr:col>3</xdr:col>
                    <xdr:colOff>137160</xdr:colOff>
                    <xdr:row>6</xdr:row>
                    <xdr:rowOff>365760</xdr:rowOff>
                  </from>
                  <to>
                    <xdr:col>3</xdr:col>
                    <xdr:colOff>1135380</xdr:colOff>
                    <xdr:row>6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Group Box 19">
              <controlPr defaultSize="0" autoFill="0" autoPict="0">
                <anchor moveWithCells="1">
                  <from>
                    <xdr:col>3</xdr:col>
                    <xdr:colOff>68580</xdr:colOff>
                    <xdr:row>6</xdr:row>
                    <xdr:rowOff>76200</xdr:rowOff>
                  </from>
                  <to>
                    <xdr:col>3</xdr:col>
                    <xdr:colOff>1630680</xdr:colOff>
                    <xdr:row>6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B_7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251460</xdr:rowOff>
                  </from>
                  <to>
                    <xdr:col>3</xdr:col>
                    <xdr:colOff>1699260</xdr:colOff>
                    <xdr:row>7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B_8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403860</xdr:rowOff>
                  </from>
                  <to>
                    <xdr:col>3</xdr:col>
                    <xdr:colOff>2026920</xdr:colOff>
                    <xdr:row>7</xdr:row>
                    <xdr:rowOff>960120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B_9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868680</xdr:rowOff>
                  </from>
                  <to>
                    <xdr:col>3</xdr:col>
                    <xdr:colOff>2019300</xdr:colOff>
                    <xdr:row>7</xdr:row>
                    <xdr:rowOff>1318260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Group Box 23">
              <controlPr defaultSize="0" autoFill="0" autoPict="0">
                <anchor moveWithCells="1">
                  <from>
                    <xdr:col>3</xdr:col>
                    <xdr:colOff>76200</xdr:colOff>
                    <xdr:row>7</xdr:row>
                    <xdr:rowOff>121920</xdr:rowOff>
                  </from>
                  <to>
                    <xdr:col>3</xdr:col>
                    <xdr:colOff>2316480</xdr:colOff>
                    <xdr:row>7</xdr:row>
                    <xdr:rowOff>1325880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pageSetUpPr fitToPage="1"/>
  </sheetPr>
  <dimension ref="A1:XFC62"/>
  <sheetViews>
    <sheetView showGridLines="0" showRowColHeaders="0" zoomScaleNormal="100" workbookViewId="0">
      <selection activeCell="D4" sqref="D4"/>
    </sheetView>
  </sheetViews>
  <sheetFormatPr defaultColWidth="0" defaultRowHeight="14.4" zeroHeight="1" x14ac:dyDescent="0.3"/>
  <cols>
    <col min="1" max="1" width="20.6640625" customWidth="1"/>
    <col min="2" max="2" width="10.6640625" customWidth="1"/>
    <col min="3" max="3" width="30.6640625" customWidth="1"/>
    <col min="4" max="4" width="40.6640625" customWidth="1"/>
    <col min="5" max="5" width="10.6640625" style="4" customWidth="1"/>
    <col min="6" max="7" width="11.5546875" style="13" hidden="1"/>
    <col min="8" max="16383" width="11.5546875" hidden="1"/>
    <col min="16384" max="16384" width="3.6640625" hidden="1"/>
  </cols>
  <sheetData>
    <row r="1" spans="1:7" x14ac:dyDescent="0.3">
      <c r="A1" s="4"/>
      <c r="B1" s="4"/>
      <c r="D1" s="4"/>
    </row>
    <row r="2" spans="1:7" x14ac:dyDescent="0.3">
      <c r="A2" s="4"/>
      <c r="B2" s="65"/>
      <c r="C2" s="66"/>
      <c r="D2" s="66"/>
    </row>
    <row r="3" spans="1:7" x14ac:dyDescent="0.3">
      <c r="A3" s="4"/>
      <c r="B3" s="175" t="s">
        <v>328</v>
      </c>
      <c r="C3" s="176"/>
      <c r="D3" s="177"/>
    </row>
    <row r="4" spans="1:7" x14ac:dyDescent="0.3">
      <c r="A4" s="4"/>
      <c r="B4" s="154">
        <v>1</v>
      </c>
      <c r="C4" s="153" t="s">
        <v>433</v>
      </c>
      <c r="D4" s="76"/>
      <c r="F4" s="14" t="s">
        <v>4</v>
      </c>
      <c r="G4" s="14" t="s">
        <v>5</v>
      </c>
    </row>
    <row r="5" spans="1:7" ht="24" customHeight="1" x14ac:dyDescent="0.3">
      <c r="A5" s="4"/>
      <c r="B5" s="171">
        <v>2</v>
      </c>
      <c r="C5" s="172" t="s">
        <v>340</v>
      </c>
      <c r="D5" s="91"/>
      <c r="F5" s="26">
        <v>0</v>
      </c>
      <c r="G5" s="24" t="b">
        <f>IF(F5=1,0.03,IF(F5=2,0.1,IF(F5=3,0.3,IF(F5=4,1))))</f>
        <v>0</v>
      </c>
    </row>
    <row r="6" spans="1:7" ht="40.200000000000003" customHeight="1" x14ac:dyDescent="0.3">
      <c r="A6" s="4"/>
      <c r="B6" s="171"/>
      <c r="C6" s="173"/>
      <c r="D6" s="79"/>
    </row>
    <row r="7" spans="1:7" ht="97.95" customHeight="1" x14ac:dyDescent="0.3">
      <c r="A7" s="4"/>
      <c r="B7" s="171"/>
      <c r="C7" s="173"/>
      <c r="D7" s="92"/>
    </row>
    <row r="8" spans="1:7" ht="85.2" customHeight="1" x14ac:dyDescent="0.3">
      <c r="A8" s="4"/>
      <c r="B8" s="171"/>
      <c r="C8" s="174"/>
      <c r="D8" s="80"/>
    </row>
    <row r="9" spans="1:7" ht="31.5" customHeight="1" x14ac:dyDescent="0.3">
      <c r="A9" s="4"/>
      <c r="B9" s="68"/>
      <c r="C9" s="69"/>
      <c r="D9" s="59"/>
    </row>
    <row r="10" spans="1:7" x14ac:dyDescent="0.3"/>
    <row r="11" spans="1:7" ht="14.4" hidden="1" customHeight="1" x14ac:dyDescent="0.3">
      <c r="A11" t="s">
        <v>141</v>
      </c>
    </row>
    <row r="12" spans="1:7" ht="14.4" hidden="1" customHeight="1" x14ac:dyDescent="0.3">
      <c r="A12" t="s">
        <v>142</v>
      </c>
    </row>
    <row r="13" spans="1:7" ht="14.4" hidden="1" customHeight="1" x14ac:dyDescent="0.3">
      <c r="A13" t="s">
        <v>140</v>
      </c>
      <c r="E13" s="5"/>
    </row>
    <row r="14" spans="1:7" ht="14.4" hidden="1" customHeight="1" x14ac:dyDescent="0.3">
      <c r="A14" t="s">
        <v>143</v>
      </c>
      <c r="E14" s="5"/>
    </row>
    <row r="15" spans="1:7" ht="14.4" hidden="1" customHeight="1" x14ac:dyDescent="0.3">
      <c r="A15" t="s">
        <v>140</v>
      </c>
      <c r="E15" s="5"/>
    </row>
    <row r="16" spans="1:7" ht="14.4" hidden="1" customHeight="1" x14ac:dyDescent="0.3">
      <c r="A16" t="s">
        <v>144</v>
      </c>
      <c r="E16" s="5"/>
    </row>
    <row r="17" spans="1:1" ht="14.4" hidden="1" customHeight="1" x14ac:dyDescent="0.3">
      <c r="A17" t="s">
        <v>140</v>
      </c>
    </row>
    <row r="18" spans="1:1" ht="14.4" hidden="1" customHeight="1" x14ac:dyDescent="0.3">
      <c r="A18" t="s">
        <v>145</v>
      </c>
    </row>
    <row r="19" spans="1:1" ht="14.4" hidden="1" customHeight="1" x14ac:dyDescent="0.3">
      <c r="A19" t="s">
        <v>140</v>
      </c>
    </row>
    <row r="20" spans="1:1" ht="14.4" hidden="1" customHeight="1" x14ac:dyDescent="0.3">
      <c r="A20" t="s">
        <v>146</v>
      </c>
    </row>
    <row r="21" spans="1:1" ht="14.4" hidden="1" customHeight="1" x14ac:dyDescent="0.3">
      <c r="A21" t="s">
        <v>140</v>
      </c>
    </row>
    <row r="22" spans="1:1" ht="14.4" hidden="1" customHeight="1" x14ac:dyDescent="0.3">
      <c r="A22" t="s">
        <v>147</v>
      </c>
    </row>
    <row r="23" spans="1:1" ht="14.4" hidden="1" customHeight="1" x14ac:dyDescent="0.3">
      <c r="A23" t="s">
        <v>140</v>
      </c>
    </row>
    <row r="24" spans="1:1" ht="14.4" hidden="1" customHeight="1" x14ac:dyDescent="0.3">
      <c r="A24" t="s">
        <v>148</v>
      </c>
    </row>
    <row r="25" spans="1:1" ht="14.4" hidden="1" customHeight="1" x14ac:dyDescent="0.3">
      <c r="A25" t="s">
        <v>140</v>
      </c>
    </row>
    <row r="26" spans="1:1" ht="14.4" hidden="1" customHeight="1" x14ac:dyDescent="0.3">
      <c r="A26" t="s">
        <v>149</v>
      </c>
    </row>
    <row r="27" spans="1:1" ht="14.4" hidden="1" customHeight="1" x14ac:dyDescent="0.3">
      <c r="A27" t="s">
        <v>140</v>
      </c>
    </row>
    <row r="28" spans="1:1" ht="14.4" hidden="1" customHeight="1" x14ac:dyDescent="0.3">
      <c r="A28" t="s">
        <v>150</v>
      </c>
    </row>
    <row r="29" spans="1:1" ht="14.4" hidden="1" customHeight="1" x14ac:dyDescent="0.3">
      <c r="A29" t="s">
        <v>140</v>
      </c>
    </row>
    <row r="30" spans="1:1" ht="14.4" hidden="1" customHeight="1" x14ac:dyDescent="0.3">
      <c r="A30" t="s">
        <v>151</v>
      </c>
    </row>
    <row r="31" spans="1:1" ht="14.4" hidden="1" customHeight="1" x14ac:dyDescent="0.3">
      <c r="A31" t="s">
        <v>140</v>
      </c>
    </row>
    <row r="32" spans="1:1" ht="14.4" hidden="1" customHeight="1" x14ac:dyDescent="0.3">
      <c r="A32" t="s">
        <v>152</v>
      </c>
    </row>
    <row r="33" spans="1:1" ht="14.4" hidden="1" customHeight="1" x14ac:dyDescent="0.3">
      <c r="A33" t="s">
        <v>140</v>
      </c>
    </row>
    <row r="34" spans="1:1" ht="14.4" hidden="1" customHeight="1" x14ac:dyDescent="0.3">
      <c r="A34" t="s">
        <v>153</v>
      </c>
    </row>
    <row r="35" spans="1:1" ht="14.4" hidden="1" customHeight="1" x14ac:dyDescent="0.3">
      <c r="A35" t="s">
        <v>140</v>
      </c>
    </row>
    <row r="36" spans="1:1" ht="14.4" hidden="1" customHeight="1" x14ac:dyDescent="0.3">
      <c r="A36" t="s">
        <v>154</v>
      </c>
    </row>
    <row r="37" spans="1:1" ht="14.4" hidden="1" customHeight="1" x14ac:dyDescent="0.3">
      <c r="A37" t="s">
        <v>140</v>
      </c>
    </row>
    <row r="38" spans="1:1" ht="14.4" hidden="1" customHeight="1" x14ac:dyDescent="0.3">
      <c r="A38" t="s">
        <v>155</v>
      </c>
    </row>
    <row r="39" spans="1:1" ht="14.4" hidden="1" customHeight="1" x14ac:dyDescent="0.3">
      <c r="A39" t="s">
        <v>140</v>
      </c>
    </row>
    <row r="40" spans="1:1" ht="14.4" hidden="1" customHeight="1" x14ac:dyDescent="0.3">
      <c r="A40" t="s">
        <v>156</v>
      </c>
    </row>
    <row r="41" spans="1:1" ht="14.4" hidden="1" customHeight="1" x14ac:dyDescent="0.3">
      <c r="A41" t="s">
        <v>140</v>
      </c>
    </row>
    <row r="42" spans="1:1" ht="14.4" hidden="1" customHeight="1" x14ac:dyDescent="0.3">
      <c r="A42" t="s">
        <v>157</v>
      </c>
    </row>
    <row r="43" spans="1:1" ht="14.4" hidden="1" customHeight="1" x14ac:dyDescent="0.3">
      <c r="A43" t="s">
        <v>140</v>
      </c>
    </row>
    <row r="44" spans="1:1" ht="14.4" hidden="1" customHeight="1" x14ac:dyDescent="0.3">
      <c r="A44" t="s">
        <v>158</v>
      </c>
    </row>
    <row r="45" spans="1:1" ht="14.4" hidden="1" customHeight="1" x14ac:dyDescent="0.3">
      <c r="A45" t="s">
        <v>140</v>
      </c>
    </row>
    <row r="46" spans="1:1" ht="14.4" hidden="1" customHeight="1" x14ac:dyDescent="0.3">
      <c r="A46" t="s">
        <v>159</v>
      </c>
    </row>
    <row r="47" spans="1:1" ht="14.4" hidden="1" customHeight="1" x14ac:dyDescent="0.3">
      <c r="A47" t="s">
        <v>140</v>
      </c>
    </row>
    <row r="48" spans="1:1" ht="14.4" hidden="1" customHeight="1" x14ac:dyDescent="0.3">
      <c r="A48" t="s">
        <v>160</v>
      </c>
    </row>
    <row r="49" spans="1:1" ht="14.4" hidden="1" customHeight="1" x14ac:dyDescent="0.3">
      <c r="A49" t="s">
        <v>140</v>
      </c>
    </row>
    <row r="50" spans="1:1" ht="14.4" hidden="1" customHeight="1" x14ac:dyDescent="0.3">
      <c r="A50" t="s">
        <v>161</v>
      </c>
    </row>
    <row r="51" spans="1:1" ht="14.4" hidden="1" customHeight="1" x14ac:dyDescent="0.3">
      <c r="A51" t="s">
        <v>140</v>
      </c>
    </row>
    <row r="52" spans="1:1" ht="14.4" hidden="1" customHeight="1" x14ac:dyDescent="0.3">
      <c r="A52" t="s">
        <v>162</v>
      </c>
    </row>
    <row r="53" spans="1:1" ht="14.4" hidden="1" customHeight="1" x14ac:dyDescent="0.3">
      <c r="A53" t="s">
        <v>140</v>
      </c>
    </row>
    <row r="54" spans="1:1" ht="14.4" hidden="1" customHeight="1" x14ac:dyDescent="0.3">
      <c r="A54" t="s">
        <v>163</v>
      </c>
    </row>
    <row r="55" spans="1:1" ht="14.4" hidden="1" customHeight="1" x14ac:dyDescent="0.3">
      <c r="A55" t="s">
        <v>140</v>
      </c>
    </row>
    <row r="56" spans="1:1" ht="14.4" hidden="1" customHeight="1" x14ac:dyDescent="0.3">
      <c r="A56" t="s">
        <v>164</v>
      </c>
    </row>
    <row r="57" spans="1:1" ht="14.4" hidden="1" customHeight="1" x14ac:dyDescent="0.3">
      <c r="A57" t="s">
        <v>140</v>
      </c>
    </row>
    <row r="58" spans="1:1" ht="14.4" hidden="1" customHeight="1" x14ac:dyDescent="0.3">
      <c r="A58" t="s">
        <v>165</v>
      </c>
    </row>
    <row r="59" spans="1:1" ht="14.4" hidden="1" customHeight="1" x14ac:dyDescent="0.3">
      <c r="A59" t="s">
        <v>140</v>
      </c>
    </row>
    <row r="60" spans="1:1" ht="14.4" hidden="1" customHeight="1" x14ac:dyDescent="0.3">
      <c r="A60" t="s">
        <v>166</v>
      </c>
    </row>
    <row r="61" spans="1:1" ht="14.4" hidden="1" customHeight="1" x14ac:dyDescent="0.3">
      <c r="A61" t="s">
        <v>140</v>
      </c>
    </row>
    <row r="62" spans="1:1" ht="14.4" hidden="1" customHeight="1" x14ac:dyDescent="0.3">
      <c r="A62" t="s">
        <v>167</v>
      </c>
    </row>
  </sheetData>
  <sheetProtection algorithmName="SHA-512" hashValue="GAuh8p2nSD6wwoi3NDDedg6HnsW5r2papfzEcsEpW2C8BWTc0HFRLWRvy3/dKcUxapPBS7cxmRIOO+jDKggWbg==" saltValue="CoNlejR58mKaFG97Bbe11Q==" spinCount="100000" sheet="1" objects="1" scenarios="1" selectLockedCells="1"/>
  <mergeCells count="3">
    <mergeCell ref="B5:B8"/>
    <mergeCell ref="C5:C8"/>
    <mergeCell ref="B3:D3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_1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0</xdr:rowOff>
                  </from>
                  <to>
                    <xdr:col>3</xdr:col>
                    <xdr:colOff>381000</xdr:colOff>
                    <xdr:row>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_2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190500</xdr:rowOff>
                  </from>
                  <to>
                    <xdr:col>3</xdr:col>
                    <xdr:colOff>381000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_3">
              <controlPr defaultSize="0" autoFill="0" autoLine="0" autoPict="0">
                <anchor moveWithCells="1">
                  <from>
                    <xdr:col>3</xdr:col>
                    <xdr:colOff>144780</xdr:colOff>
                    <xdr:row>6</xdr:row>
                    <xdr:rowOff>937260</xdr:rowOff>
                  </from>
                  <to>
                    <xdr:col>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_4">
              <controlPr defaultSize="0" autoFill="0" autoLine="0" autoPict="0">
                <anchor moveWithCells="1">
                  <from>
                    <xdr:col>3</xdr:col>
                    <xdr:colOff>144780</xdr:colOff>
                    <xdr:row>7</xdr:row>
                    <xdr:rowOff>381000</xdr:rowOff>
                  </from>
                  <to>
                    <xdr:col>3</xdr:col>
                    <xdr:colOff>350520</xdr:colOff>
                    <xdr:row>7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Group Box 5">
              <controlPr defaultSize="0" autoFill="0" autoPict="0">
                <anchor moveWithCells="1">
                  <from>
                    <xdr:col>3</xdr:col>
                    <xdr:colOff>83820</xdr:colOff>
                    <xdr:row>4</xdr:row>
                    <xdr:rowOff>83820</xdr:rowOff>
                  </from>
                  <to>
                    <xdr:col>3</xdr:col>
                    <xdr:colOff>2621280</xdr:colOff>
                    <xdr:row>7</xdr:row>
                    <xdr:rowOff>998220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pageSetUpPr fitToPage="1"/>
  </sheetPr>
  <dimension ref="A1:XFC29"/>
  <sheetViews>
    <sheetView showGridLines="0" showRowColHeaders="0" zoomScaleNormal="100" zoomScaleSheetLayoutView="100" workbookViewId="0">
      <selection activeCell="D5" sqref="D5"/>
    </sheetView>
  </sheetViews>
  <sheetFormatPr defaultColWidth="0" defaultRowHeight="14.4" zeroHeight="1" x14ac:dyDescent="0.3"/>
  <cols>
    <col min="1" max="1" width="20.6640625" style="4" customWidth="1"/>
    <col min="2" max="2" width="10.6640625" customWidth="1"/>
    <col min="3" max="3" width="30.6640625" customWidth="1"/>
    <col min="4" max="4" width="40.6640625" customWidth="1"/>
    <col min="5" max="5" width="10.6640625" customWidth="1"/>
    <col min="6" max="7" width="8.6640625" style="13" hidden="1"/>
    <col min="8" max="9" width="8.6640625" style="9" hidden="1"/>
    <col min="10" max="16383" width="5.33203125" hidden="1"/>
    <col min="16384" max="16384" width="7.5546875" hidden="1"/>
  </cols>
  <sheetData>
    <row r="1" spans="1:9" x14ac:dyDescent="0.3">
      <c r="A1" s="70"/>
      <c r="B1" s="4"/>
      <c r="C1" s="4"/>
      <c r="D1" s="4"/>
    </row>
    <row r="2" spans="1:9" x14ac:dyDescent="0.3">
      <c r="B2" s="61"/>
      <c r="C2" s="4"/>
      <c r="D2" s="4"/>
    </row>
    <row r="3" spans="1:9" x14ac:dyDescent="0.3">
      <c r="B3" s="168" t="s">
        <v>341</v>
      </c>
      <c r="C3" s="169"/>
      <c r="D3" s="170"/>
    </row>
    <row r="4" spans="1:9" x14ac:dyDescent="0.3">
      <c r="B4" s="89">
        <v>1</v>
      </c>
      <c r="C4" s="93" t="s">
        <v>342</v>
      </c>
      <c r="D4" s="94"/>
    </row>
    <row r="5" spans="1:9" ht="15" customHeight="1" x14ac:dyDescent="0.3">
      <c r="B5" s="89">
        <v>2</v>
      </c>
      <c r="C5" s="155" t="s">
        <v>343</v>
      </c>
      <c r="D5" s="94"/>
    </row>
    <row r="6" spans="1:9" ht="25.2" customHeight="1" x14ac:dyDescent="0.3">
      <c r="B6" s="166">
        <v>4</v>
      </c>
      <c r="C6" s="167" t="s">
        <v>345</v>
      </c>
      <c r="D6" s="78"/>
      <c r="F6" s="13">
        <v>4</v>
      </c>
      <c r="G6" s="13">
        <v>0</v>
      </c>
      <c r="H6" s="10" t="b">
        <f>IF(G6=1,1,IF(G6=2,0.3,IF(G6=3,0.1)))</f>
        <v>0</v>
      </c>
    </row>
    <row r="7" spans="1:9" ht="25.2" customHeight="1" x14ac:dyDescent="0.3">
      <c r="B7" s="166"/>
      <c r="C7" s="167"/>
      <c r="D7" s="79"/>
    </row>
    <row r="8" spans="1:9" ht="25.2" customHeight="1" x14ac:dyDescent="0.3">
      <c r="B8" s="166"/>
      <c r="C8" s="167"/>
      <c r="D8" s="79"/>
    </row>
    <row r="9" spans="1:9" ht="25.2" customHeight="1" x14ac:dyDescent="0.3">
      <c r="B9" s="166">
        <v>5</v>
      </c>
      <c r="C9" s="167" t="s">
        <v>344</v>
      </c>
      <c r="D9" s="78"/>
      <c r="F9" s="13">
        <v>5</v>
      </c>
      <c r="G9" s="13">
        <v>0</v>
      </c>
      <c r="H9" s="10" t="b">
        <f>IF(G9=1,1,IF(G9=2,2,IF(G9=3,0.3)))</f>
        <v>0</v>
      </c>
    </row>
    <row r="10" spans="1:9" ht="25.2" customHeight="1" x14ac:dyDescent="0.3">
      <c r="B10" s="166"/>
      <c r="C10" s="167"/>
      <c r="D10" s="79"/>
    </row>
    <row r="11" spans="1:9" ht="25.2" customHeight="1" x14ac:dyDescent="0.3">
      <c r="B11" s="166"/>
      <c r="C11" s="167"/>
      <c r="D11" s="79"/>
      <c r="I11" s="12"/>
    </row>
    <row r="12" spans="1:9" ht="25.2" customHeight="1" x14ac:dyDescent="0.3">
      <c r="B12" s="166" t="s">
        <v>169</v>
      </c>
      <c r="C12" s="179" t="s">
        <v>346</v>
      </c>
      <c r="D12" s="78"/>
      <c r="E12" s="18"/>
      <c r="F12" s="15" t="s">
        <v>24</v>
      </c>
      <c r="G12" s="13">
        <v>0</v>
      </c>
      <c r="H12" s="10" t="b">
        <f>IF(G12=1,3,IF(G12=2,1,IF(G12=3,0.3)))</f>
        <v>0</v>
      </c>
      <c r="I12" s="12"/>
    </row>
    <row r="13" spans="1:9" ht="25.2" customHeight="1" x14ac:dyDescent="0.3">
      <c r="B13" s="166"/>
      <c r="C13" s="180"/>
      <c r="D13" s="79"/>
      <c r="I13" s="12"/>
    </row>
    <row r="14" spans="1:9" ht="25.2" customHeight="1" x14ac:dyDescent="0.3">
      <c r="B14" s="166"/>
      <c r="C14" s="180"/>
      <c r="D14" s="79"/>
      <c r="G14" s="16"/>
    </row>
    <row r="15" spans="1:9" ht="34.200000000000003" customHeight="1" x14ac:dyDescent="0.3">
      <c r="B15" s="178" t="s">
        <v>35</v>
      </c>
      <c r="C15" s="172" t="s">
        <v>347</v>
      </c>
      <c r="D15" s="78"/>
      <c r="F15" s="15" t="s">
        <v>35</v>
      </c>
      <c r="G15" s="17">
        <v>0</v>
      </c>
      <c r="H15" s="10" t="b">
        <f>IF(G15=1,1,IF(G15=2,3))</f>
        <v>0</v>
      </c>
    </row>
    <row r="16" spans="1:9" ht="34.200000000000003" customHeight="1" x14ac:dyDescent="0.3">
      <c r="B16" s="178"/>
      <c r="C16" s="174"/>
      <c r="D16" s="79"/>
    </row>
    <row r="17" spans="2:10" ht="34.200000000000003" customHeight="1" x14ac:dyDescent="0.3">
      <c r="B17" s="178" t="s">
        <v>36</v>
      </c>
      <c r="C17" s="181" t="s">
        <v>348</v>
      </c>
      <c r="D17" s="78"/>
      <c r="F17" s="15" t="s">
        <v>36</v>
      </c>
      <c r="G17" s="13">
        <v>0</v>
      </c>
      <c r="H17" s="10" t="b">
        <f>IF(G17=1,1,IF(G17=2,1.75))</f>
        <v>0</v>
      </c>
      <c r="J17" s="7"/>
    </row>
    <row r="18" spans="2:10" ht="34.200000000000003" customHeight="1" x14ac:dyDescent="0.3">
      <c r="B18" s="178"/>
      <c r="C18" s="182"/>
      <c r="D18" s="80"/>
      <c r="J18" s="7"/>
    </row>
    <row r="19" spans="2:10" ht="72.75" customHeight="1" x14ac:dyDescent="0.3">
      <c r="B19" s="89" t="s">
        <v>29</v>
      </c>
      <c r="C19" s="96" t="s">
        <v>350</v>
      </c>
      <c r="D19" s="80"/>
      <c r="F19" s="36" t="s">
        <v>29</v>
      </c>
      <c r="G19" s="40">
        <v>0</v>
      </c>
      <c r="H19" s="51" t="b">
        <f>IF(G19=1,0.3,IF(G19=2,1,IF(G19=3,3)))</f>
        <v>0</v>
      </c>
    </row>
    <row r="20" spans="2:10" ht="25.2" customHeight="1" x14ac:dyDescent="0.3">
      <c r="B20" s="178" t="s">
        <v>37</v>
      </c>
      <c r="C20" s="172" t="s">
        <v>349</v>
      </c>
      <c r="D20" s="79"/>
      <c r="F20" s="15" t="s">
        <v>37</v>
      </c>
      <c r="G20" s="13">
        <v>0</v>
      </c>
      <c r="H20" s="10" t="b">
        <f>IF(G20=1,1,IF(G20=2,1.75,IF(G20=3,3)))</f>
        <v>0</v>
      </c>
      <c r="J20" s="6"/>
    </row>
    <row r="21" spans="2:10" ht="25.2" customHeight="1" x14ac:dyDescent="0.3">
      <c r="B21" s="178"/>
      <c r="C21" s="173"/>
      <c r="D21" s="79"/>
      <c r="J21" s="6"/>
    </row>
    <row r="22" spans="2:10" ht="25.2" customHeight="1" x14ac:dyDescent="0.3">
      <c r="B22" s="178"/>
      <c r="C22" s="174"/>
      <c r="D22" s="80"/>
      <c r="J22" s="6"/>
    </row>
    <row r="23" spans="2:10" ht="25.2" customHeight="1" x14ac:dyDescent="0.3">
      <c r="B23" s="71"/>
      <c r="C23" s="59"/>
      <c r="D23" s="59"/>
      <c r="J23" s="6"/>
    </row>
    <row r="24" spans="2:10" ht="18.75" customHeight="1" x14ac:dyDescent="0.3">
      <c r="G24" s="13" t="s">
        <v>57</v>
      </c>
      <c r="H24" s="10">
        <f>H6*H9*H12*H15*H17</f>
        <v>0</v>
      </c>
    </row>
    <row r="25" spans="2:10" hidden="1" x14ac:dyDescent="0.3">
      <c r="G25" s="13" t="s">
        <v>58</v>
      </c>
      <c r="H25" s="10">
        <f>(H6*H9*H19*H20)/2</f>
        <v>0</v>
      </c>
    </row>
    <row r="26" spans="2:10" hidden="1" x14ac:dyDescent="0.3">
      <c r="G26" s="13" t="s">
        <v>59</v>
      </c>
      <c r="H26" s="10">
        <f>H6*H9</f>
        <v>0</v>
      </c>
    </row>
    <row r="28" spans="2:10" ht="15" hidden="1" thickBot="1" x14ac:dyDescent="0.35">
      <c r="G28" s="28" t="s">
        <v>56</v>
      </c>
      <c r="H28" s="11" t="b">
        <f>IF(G9=1,H24,IF(G9=2,H25,IF(G9=3,H26)))</f>
        <v>0</v>
      </c>
    </row>
    <row r="29" spans="2:10" x14ac:dyDescent="0.3"/>
  </sheetData>
  <sheetProtection algorithmName="SHA-512" hashValue="OjxU5K8fMmK4svaCmwMA/cqdqINXdJNFsJMjCkFf9fXRcgjz93Yaau7NUI7OkQjRf8tSwnkZv0ruUTQ/wKltkg==" saltValue="iEWcircW2EscnZ2mjRcOvw==" spinCount="100000" sheet="1" objects="1" scenarios="1" selectLockedCells="1"/>
  <mergeCells count="13">
    <mergeCell ref="B6:B8"/>
    <mergeCell ref="C6:C8"/>
    <mergeCell ref="B3:D3"/>
    <mergeCell ref="B20:B22"/>
    <mergeCell ref="B9:B11"/>
    <mergeCell ref="C9:C11"/>
    <mergeCell ref="B12:B14"/>
    <mergeCell ref="B15:B16"/>
    <mergeCell ref="B17:B18"/>
    <mergeCell ref="C12:C14"/>
    <mergeCell ref="C20:C22"/>
    <mergeCell ref="C17:C18"/>
    <mergeCell ref="C15:C16"/>
  </mergeCells>
  <hyperlinks>
    <hyperlink ref="C4" location="_ftn1" display="_ftn1" xr:uid="{00000000-0004-0000-0500-000000000000}"/>
  </hyperlinks>
  <pageMargins left="0.7" right="0.7" top="0.75" bottom="0.75" header="0.3" footer="0.3"/>
  <pageSetup scale="82" orientation="landscape" r:id="rId1"/>
  <ignoredErrors>
    <ignoredError sqref="B12 B15 B17 B19:B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_1">
              <controlPr defaultSize="0" autoFill="0" autoLine="0" autoPict="0">
                <anchor moveWithCells="1">
                  <from>
                    <xdr:col>3</xdr:col>
                    <xdr:colOff>114300</xdr:colOff>
                    <xdr:row>5</xdr:row>
                    <xdr:rowOff>106680</xdr:rowOff>
                  </from>
                  <to>
                    <xdr:col>3</xdr:col>
                    <xdr:colOff>2217420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_2">
              <controlPr defaultSize="0" autoFill="0" autoLine="0" autoPict="0">
                <anchor moveWithCells="1">
                  <from>
                    <xdr:col>3</xdr:col>
                    <xdr:colOff>114300</xdr:colOff>
                    <xdr:row>6</xdr:row>
                    <xdr:rowOff>83820</xdr:rowOff>
                  </from>
                  <to>
                    <xdr:col>3</xdr:col>
                    <xdr:colOff>2278380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_3">
              <controlPr defaultSize="0" autoFill="0" autoLine="0" autoPict="0">
                <anchor moveWithCells="1">
                  <from>
                    <xdr:col>3</xdr:col>
                    <xdr:colOff>114300</xdr:colOff>
                    <xdr:row>7</xdr:row>
                    <xdr:rowOff>7620</xdr:rowOff>
                  </from>
                  <to>
                    <xdr:col>3</xdr:col>
                    <xdr:colOff>2392680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Group Box 4">
              <controlPr defaultSize="0" autoFill="0" autoPict="0">
                <anchor moveWithCells="1">
                  <from>
                    <xdr:col>3</xdr:col>
                    <xdr:colOff>60960</xdr:colOff>
                    <xdr:row>5</xdr:row>
                    <xdr:rowOff>45720</xdr:rowOff>
                  </from>
                  <to>
                    <xdr:col>3</xdr:col>
                    <xdr:colOff>2590800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_4">
              <controlPr defaultSize="0" autoFill="0" autoLine="0" autoPict="0">
                <anchor moveWithCells="1">
                  <from>
                    <xdr:col>3</xdr:col>
                    <xdr:colOff>114300</xdr:colOff>
                    <xdr:row>8</xdr:row>
                    <xdr:rowOff>175260</xdr:rowOff>
                  </from>
                  <to>
                    <xdr:col>3</xdr:col>
                    <xdr:colOff>1112520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_5">
              <controlPr defaultSize="0" autoFill="0" autoLine="0" autoPict="0">
                <anchor moveWithCells="1">
                  <from>
                    <xdr:col>3</xdr:col>
                    <xdr:colOff>114300</xdr:colOff>
                    <xdr:row>9</xdr:row>
                    <xdr:rowOff>76200</xdr:rowOff>
                  </from>
                  <to>
                    <xdr:col>3</xdr:col>
                    <xdr:colOff>1112520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0" name="B_11">
              <controlPr defaultSize="0" autoFill="0" autoLine="0" autoPict="0">
                <anchor moveWithCells="1">
                  <from>
                    <xdr:col>3</xdr:col>
                    <xdr:colOff>106680</xdr:colOff>
                    <xdr:row>11</xdr:row>
                    <xdr:rowOff>175260</xdr:rowOff>
                  </from>
                  <to>
                    <xdr:col>3</xdr:col>
                    <xdr:colOff>1485900</xdr:colOff>
                    <xdr:row>12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1" name="B_12">
              <controlPr defaultSize="0" autoFill="0" autoLine="0" autoPict="0">
                <anchor moveWithCells="1">
                  <from>
                    <xdr:col>3</xdr:col>
                    <xdr:colOff>106680</xdr:colOff>
                    <xdr:row>12</xdr:row>
                    <xdr:rowOff>121920</xdr:rowOff>
                  </from>
                  <to>
                    <xdr:col>3</xdr:col>
                    <xdr:colOff>2095500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2" name="B_13">
              <controlPr defaultSize="0" autoFill="0" autoLine="0" autoPict="0">
                <anchor moveWithCells="1">
                  <from>
                    <xdr:col>3</xdr:col>
                    <xdr:colOff>106680</xdr:colOff>
                    <xdr:row>13</xdr:row>
                    <xdr:rowOff>7620</xdr:rowOff>
                  </from>
                  <to>
                    <xdr:col>3</xdr:col>
                    <xdr:colOff>2095500</xdr:colOff>
                    <xdr:row>13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3" name="Group Box 12">
              <controlPr defaultSize="0" autoFill="0" autoPict="0">
                <anchor moveWithCells="1">
                  <from>
                    <xdr:col>3</xdr:col>
                    <xdr:colOff>68580</xdr:colOff>
                    <xdr:row>11</xdr:row>
                    <xdr:rowOff>60960</xdr:rowOff>
                  </from>
                  <to>
                    <xdr:col>3</xdr:col>
                    <xdr:colOff>2613660</xdr:colOff>
                    <xdr:row>13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4" name="B_14">
              <controlPr defaultSize="0" autoFill="0" autoLine="0" autoPict="0">
                <anchor moveWithCells="1">
                  <from>
                    <xdr:col>3</xdr:col>
                    <xdr:colOff>114300</xdr:colOff>
                    <xdr:row>14</xdr:row>
                    <xdr:rowOff>213360</xdr:rowOff>
                  </from>
                  <to>
                    <xdr:col>3</xdr:col>
                    <xdr:colOff>1165860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5" name="B_15">
              <controlPr defaultSize="0" autoFill="0" autoLine="0" autoPict="0">
                <anchor moveWithCells="1">
                  <from>
                    <xdr:col>3</xdr:col>
                    <xdr:colOff>114300</xdr:colOff>
                    <xdr:row>15</xdr:row>
                    <xdr:rowOff>45720</xdr:rowOff>
                  </from>
                  <to>
                    <xdr:col>3</xdr:col>
                    <xdr:colOff>1165860</xdr:colOff>
                    <xdr:row>15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6" name="Group Box 15">
              <controlPr defaultSize="0" autoFill="0" autoPict="0">
                <anchor moveWithCells="1">
                  <from>
                    <xdr:col>3</xdr:col>
                    <xdr:colOff>76200</xdr:colOff>
                    <xdr:row>14</xdr:row>
                    <xdr:rowOff>60960</xdr:rowOff>
                  </from>
                  <to>
                    <xdr:col>3</xdr:col>
                    <xdr:colOff>2613660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7" name="B_16">
              <controlPr defaultSize="0" autoFill="0" autoLine="0" autoPict="0">
                <anchor moveWithCells="1">
                  <from>
                    <xdr:col>3</xdr:col>
                    <xdr:colOff>137160</xdr:colOff>
                    <xdr:row>16</xdr:row>
                    <xdr:rowOff>228600</xdr:rowOff>
                  </from>
                  <to>
                    <xdr:col>3</xdr:col>
                    <xdr:colOff>1181100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8" name="B_17">
              <controlPr defaultSize="0" autoFill="0" autoLine="0" autoPict="0">
                <anchor moveWithCells="1">
                  <from>
                    <xdr:col>3</xdr:col>
                    <xdr:colOff>137160</xdr:colOff>
                    <xdr:row>17</xdr:row>
                    <xdr:rowOff>76200</xdr:rowOff>
                  </from>
                  <to>
                    <xdr:col>3</xdr:col>
                    <xdr:colOff>1181100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19" name="Group Box 19">
              <controlPr defaultSize="0" autoFill="0" autoPict="0">
                <anchor moveWithCells="1">
                  <from>
                    <xdr:col>3</xdr:col>
                    <xdr:colOff>83820</xdr:colOff>
                    <xdr:row>16</xdr:row>
                    <xdr:rowOff>106680</xdr:rowOff>
                  </from>
                  <to>
                    <xdr:col>3</xdr:col>
                    <xdr:colOff>2621280</xdr:colOff>
                    <xdr:row>17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0" name="B_20">
              <controlPr defaultSize="0" autoFill="0" autoLine="0" autoPict="0">
                <anchor moveWithCells="1">
                  <from>
                    <xdr:col>3</xdr:col>
                    <xdr:colOff>137160</xdr:colOff>
                    <xdr:row>18</xdr:row>
                    <xdr:rowOff>220980</xdr:rowOff>
                  </from>
                  <to>
                    <xdr:col>3</xdr:col>
                    <xdr:colOff>1181100</xdr:colOff>
                    <xdr:row>18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1" name="B_21">
              <controlPr defaultSize="0" autoFill="0" autoLine="0" autoPict="0">
                <anchor moveWithCells="1">
                  <from>
                    <xdr:col>3</xdr:col>
                    <xdr:colOff>137160</xdr:colOff>
                    <xdr:row>18</xdr:row>
                    <xdr:rowOff>342900</xdr:rowOff>
                  </from>
                  <to>
                    <xdr:col>3</xdr:col>
                    <xdr:colOff>1181100</xdr:colOff>
                    <xdr:row>18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2" name="B_22">
              <controlPr defaultSize="0" autoFill="0" autoLine="0" autoPict="0">
                <anchor moveWithCells="1">
                  <from>
                    <xdr:col>3</xdr:col>
                    <xdr:colOff>137160</xdr:colOff>
                    <xdr:row>18</xdr:row>
                    <xdr:rowOff>601980</xdr:rowOff>
                  </from>
                  <to>
                    <xdr:col>3</xdr:col>
                    <xdr:colOff>1181100</xdr:colOff>
                    <xdr:row>18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3" name="Group Box 26">
              <controlPr defaultSize="0" autoFill="0" autoPict="0">
                <anchor moveWithCells="1">
                  <from>
                    <xdr:col>3</xdr:col>
                    <xdr:colOff>68580</xdr:colOff>
                    <xdr:row>18</xdr:row>
                    <xdr:rowOff>76200</xdr:rowOff>
                  </from>
                  <to>
                    <xdr:col>3</xdr:col>
                    <xdr:colOff>2613660</xdr:colOff>
                    <xdr:row>18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4" name="B_23">
              <controlPr defaultSize="0" autoFill="0" autoLine="0" autoPict="0">
                <anchor moveWithCells="1">
                  <from>
                    <xdr:col>3</xdr:col>
                    <xdr:colOff>144780</xdr:colOff>
                    <xdr:row>19</xdr:row>
                    <xdr:rowOff>175260</xdr:rowOff>
                  </from>
                  <to>
                    <xdr:col>3</xdr:col>
                    <xdr:colOff>1203960</xdr:colOff>
                    <xdr:row>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25" name="B_24">
              <controlPr defaultSize="0" autoFill="0" autoLine="0" autoPict="0">
                <anchor moveWithCells="1">
                  <from>
                    <xdr:col>3</xdr:col>
                    <xdr:colOff>144780</xdr:colOff>
                    <xdr:row>20</xdr:row>
                    <xdr:rowOff>60960</xdr:rowOff>
                  </from>
                  <to>
                    <xdr:col>3</xdr:col>
                    <xdr:colOff>1699260</xdr:colOff>
                    <xdr:row>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26" name="B_25">
              <controlPr defaultSize="0" autoFill="0" autoLine="0" autoPict="0">
                <anchor moveWithCells="1">
                  <from>
                    <xdr:col>3</xdr:col>
                    <xdr:colOff>144780</xdr:colOff>
                    <xdr:row>20</xdr:row>
                    <xdr:rowOff>289560</xdr:rowOff>
                  </from>
                  <to>
                    <xdr:col>3</xdr:col>
                    <xdr:colOff>1699260</xdr:colOff>
                    <xdr:row>21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27" name="Group Box 30">
              <controlPr defaultSize="0" autoFill="0" autoPict="0">
                <anchor moveWithCells="1">
                  <from>
                    <xdr:col>3</xdr:col>
                    <xdr:colOff>83820</xdr:colOff>
                    <xdr:row>19</xdr:row>
                    <xdr:rowOff>60960</xdr:rowOff>
                  </from>
                  <to>
                    <xdr:col>3</xdr:col>
                    <xdr:colOff>2613660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28" name="B_6">
              <controlPr defaultSize="0" autoFill="0" autoLine="0" autoPict="0">
                <anchor moveWithCells="1">
                  <from>
                    <xdr:col>3</xdr:col>
                    <xdr:colOff>114300</xdr:colOff>
                    <xdr:row>9</xdr:row>
                    <xdr:rowOff>297180</xdr:rowOff>
                  </from>
                  <to>
                    <xdr:col>3</xdr:col>
                    <xdr:colOff>2286000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29" name="Group Box 8">
              <controlPr defaultSize="0" autoFill="0" autoPict="0">
                <anchor moveWithCells="1">
                  <from>
                    <xdr:col>3</xdr:col>
                    <xdr:colOff>68580</xdr:colOff>
                    <xdr:row>8</xdr:row>
                    <xdr:rowOff>60960</xdr:rowOff>
                  </from>
                  <to>
                    <xdr:col>3</xdr:col>
                    <xdr:colOff>2598420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0" name="B_26">
              <controlPr defaultSize="0" autoFill="0" autoLine="0" autoPict="0">
                <anchor moveWithCells="1">
                  <from>
                    <xdr:col>3</xdr:col>
                    <xdr:colOff>1988820</xdr:colOff>
                    <xdr:row>11</xdr:row>
                    <xdr:rowOff>198120</xdr:rowOff>
                  </from>
                  <to>
                    <xdr:col>3</xdr:col>
                    <xdr:colOff>2423160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1" name="B_27">
              <controlPr defaultSize="0" autoFill="0" autoLine="0" autoPict="0">
                <anchor moveWithCells="1">
                  <from>
                    <xdr:col>3</xdr:col>
                    <xdr:colOff>1988820</xdr:colOff>
                    <xdr:row>14</xdr:row>
                    <xdr:rowOff>220980</xdr:rowOff>
                  </from>
                  <to>
                    <xdr:col>3</xdr:col>
                    <xdr:colOff>2438400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2" name="B_28">
              <controlPr defaultSize="0" autoFill="0" autoLine="0" autoPict="0">
                <anchor moveWithCells="1">
                  <from>
                    <xdr:col>3</xdr:col>
                    <xdr:colOff>1988820</xdr:colOff>
                    <xdr:row>16</xdr:row>
                    <xdr:rowOff>236220</xdr:rowOff>
                  </from>
                  <to>
                    <xdr:col>3</xdr:col>
                    <xdr:colOff>2430780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3" name="B_29">
              <controlPr defaultSize="0" autoFill="0" autoLine="0" autoPict="0">
                <anchor moveWithCells="1">
                  <from>
                    <xdr:col>3</xdr:col>
                    <xdr:colOff>1988820</xdr:colOff>
                    <xdr:row>18</xdr:row>
                    <xdr:rowOff>152400</xdr:rowOff>
                  </from>
                  <to>
                    <xdr:col>3</xdr:col>
                    <xdr:colOff>2438400</xdr:colOff>
                    <xdr:row>18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4" name="B_30">
              <controlPr defaultSize="0" autoFill="0" autoLine="0" autoPict="0">
                <anchor moveWithCells="1">
                  <from>
                    <xdr:col>3</xdr:col>
                    <xdr:colOff>1988820</xdr:colOff>
                    <xdr:row>19</xdr:row>
                    <xdr:rowOff>160020</xdr:rowOff>
                  </from>
                  <to>
                    <xdr:col>3</xdr:col>
                    <xdr:colOff>2438400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XFC109"/>
  <sheetViews>
    <sheetView showGridLines="0" showRowColHeaders="0" zoomScaleNormal="100" workbookViewId="0">
      <selection activeCell="B3" sqref="B3:E3"/>
    </sheetView>
  </sheetViews>
  <sheetFormatPr defaultColWidth="0" defaultRowHeight="14.4" zeroHeight="1" x14ac:dyDescent="0.3"/>
  <cols>
    <col min="1" max="1" width="20.6640625" style="4" customWidth="1"/>
    <col min="2" max="2" width="10.6640625" style="27" customWidth="1"/>
    <col min="3" max="3" width="30.6640625" style="13" customWidth="1"/>
    <col min="4" max="5" width="20.6640625" style="13" customWidth="1"/>
    <col min="6" max="6" width="11.5546875" style="13" customWidth="1"/>
    <col min="7" max="7" width="6.88671875" style="13" hidden="1" customWidth="1"/>
    <col min="8" max="8" width="7.6640625" style="27" hidden="1" customWidth="1"/>
    <col min="9" max="9" width="7.109375" style="27" hidden="1" customWidth="1"/>
    <col min="10" max="10" width="6.5546875" style="13" hidden="1" customWidth="1"/>
    <col min="11" max="11" width="7.88671875" style="13" hidden="1" customWidth="1"/>
    <col min="12" max="12" width="17.6640625" style="13" hidden="1" customWidth="1"/>
    <col min="13" max="14" width="6.33203125" style="13" hidden="1" customWidth="1"/>
    <col min="15" max="110" width="8.88671875" style="13" hidden="1" customWidth="1"/>
    <col min="111" max="16377" width="6.33203125" style="13" hidden="1" customWidth="1"/>
    <col min="16378" max="16378" width="4.5546875" style="13" hidden="1" customWidth="1"/>
    <col min="16379" max="16379" width="5.109375" style="13" hidden="1" customWidth="1"/>
    <col min="16380" max="16380" width="3.6640625" style="13" hidden="1" customWidth="1"/>
    <col min="16381" max="16381" width="4.5546875" style="13" hidden="1" customWidth="1"/>
    <col min="16382" max="16382" width="4.44140625" style="13" hidden="1" customWidth="1"/>
    <col min="16383" max="16383" width="23.77734375" style="23" hidden="1" customWidth="1"/>
    <col min="16384" max="16384" width="11.77734375" style="13" hidden="1" customWidth="1"/>
  </cols>
  <sheetData>
    <row r="1" spans="1:12" s="23" customFormat="1" x14ac:dyDescent="0.3">
      <c r="A1" s="126"/>
      <c r="B1" s="128"/>
      <c r="C1" s="126"/>
      <c r="D1" s="126"/>
      <c r="E1" s="126"/>
      <c r="F1" s="126"/>
      <c r="H1" s="122"/>
      <c r="I1" s="122"/>
    </row>
    <row r="2" spans="1:12" x14ac:dyDescent="0.3">
      <c r="A2" s="126"/>
      <c r="B2" s="129"/>
      <c r="C2" s="130"/>
      <c r="D2" s="126"/>
      <c r="E2" s="126"/>
      <c r="F2" s="126"/>
      <c r="G2" s="23"/>
    </row>
    <row r="3" spans="1:12" ht="19.2" customHeight="1" x14ac:dyDescent="0.3">
      <c r="A3" s="127"/>
      <c r="B3" s="183" t="s">
        <v>351</v>
      </c>
      <c r="C3" s="184"/>
      <c r="D3" s="184"/>
      <c r="E3" s="185"/>
      <c r="F3" s="131"/>
      <c r="G3" s="123"/>
      <c r="H3" s="29" t="s">
        <v>18</v>
      </c>
      <c r="I3" s="29" t="s">
        <v>4</v>
      </c>
      <c r="J3" s="29" t="s">
        <v>5</v>
      </c>
      <c r="K3" s="52" t="s">
        <v>56</v>
      </c>
      <c r="L3" s="40" t="b">
        <f>[0]!Ei</f>
        <v>0</v>
      </c>
    </row>
    <row r="4" spans="1:12" ht="82.2" customHeight="1" thickBot="1" x14ac:dyDescent="0.35">
      <c r="A4" s="127"/>
      <c r="B4" s="150">
        <v>1</v>
      </c>
      <c r="C4" s="133" t="s">
        <v>352</v>
      </c>
      <c r="D4" s="190"/>
      <c r="E4" s="190"/>
      <c r="F4" s="134"/>
      <c r="G4" s="124"/>
      <c r="H4" s="24">
        <v>1</v>
      </c>
      <c r="I4" s="24">
        <v>0</v>
      </c>
      <c r="J4" s="24" t="b">
        <f>IF(I4=1,0,IF(I4=2,1,IF(I4=3,3,IF(I4=4,10))))</f>
        <v>0</v>
      </c>
      <c r="K4" s="52" t="s">
        <v>112</v>
      </c>
      <c r="L4" s="40">
        <v>3</v>
      </c>
    </row>
    <row r="5" spans="1:12" ht="77.400000000000006" customHeight="1" thickBot="1" x14ac:dyDescent="0.35">
      <c r="A5" s="127"/>
      <c r="B5" s="149">
        <v>1.1000000000000001</v>
      </c>
      <c r="C5" s="133" t="s">
        <v>365</v>
      </c>
      <c r="D5" s="190"/>
      <c r="E5" s="190"/>
      <c r="F5" s="134"/>
      <c r="G5" s="124"/>
      <c r="H5" s="24" t="s">
        <v>6</v>
      </c>
      <c r="I5" s="24">
        <v>0</v>
      </c>
      <c r="J5" s="24" t="b">
        <f>IF(I5=1,1,IF(I5=2,3,IF(I5=3,10,IF(I5=4,0))))</f>
        <v>0</v>
      </c>
      <c r="K5" s="29" t="s">
        <v>60</v>
      </c>
      <c r="L5" s="30">
        <f>L4*J4*J5*L3</f>
        <v>0</v>
      </c>
    </row>
    <row r="6" spans="1:12" ht="74.400000000000006" customHeight="1" x14ac:dyDescent="0.3">
      <c r="A6" s="126"/>
      <c r="B6" s="150">
        <v>2</v>
      </c>
      <c r="C6" s="133" t="s">
        <v>366</v>
      </c>
      <c r="D6" s="190"/>
      <c r="E6" s="190"/>
      <c r="F6" s="134"/>
      <c r="G6" s="124"/>
      <c r="H6" s="24">
        <v>2</v>
      </c>
      <c r="I6" s="24">
        <v>0</v>
      </c>
      <c r="J6" s="24" t="b">
        <f>IF(I6=1,0,IF(I6=2,1,IF(I6=3,3,IF(I6=4,10))))</f>
        <v>0</v>
      </c>
      <c r="K6" s="24"/>
      <c r="L6" s="29"/>
    </row>
    <row r="7" spans="1:12" ht="69.599999999999994" customHeight="1" x14ac:dyDescent="0.3">
      <c r="A7" s="126"/>
      <c r="B7" s="149">
        <v>2.1</v>
      </c>
      <c r="C7" s="133" t="s">
        <v>428</v>
      </c>
      <c r="D7" s="190"/>
      <c r="E7" s="190"/>
      <c r="F7" s="134"/>
      <c r="G7" s="124"/>
      <c r="H7" s="24" t="s">
        <v>7</v>
      </c>
      <c r="I7" s="31">
        <v>0</v>
      </c>
      <c r="J7" s="24" t="b">
        <f>IF(I7=1,1,IF(I7=2,3,IF(I7=3,10,IF(I7=4,0))))</f>
        <v>0</v>
      </c>
      <c r="K7" s="24"/>
      <c r="L7" s="24"/>
    </row>
    <row r="8" spans="1:12" ht="14.4" customHeight="1" x14ac:dyDescent="0.3">
      <c r="A8" s="126"/>
      <c r="B8" s="188">
        <v>2.2000000000000002</v>
      </c>
      <c r="C8" s="187" t="s">
        <v>353</v>
      </c>
      <c r="D8" s="186" t="s">
        <v>367</v>
      </c>
      <c r="E8" s="132" t="s">
        <v>368</v>
      </c>
      <c r="F8" s="135"/>
      <c r="G8" s="125"/>
      <c r="K8" s="27"/>
    </row>
    <row r="9" spans="1:12" x14ac:dyDescent="0.3">
      <c r="A9" s="126"/>
      <c r="B9" s="188"/>
      <c r="C9" s="187"/>
      <c r="D9" s="186"/>
      <c r="E9" s="132"/>
      <c r="F9" s="135"/>
      <c r="G9" s="125"/>
      <c r="H9" s="14" t="s">
        <v>113</v>
      </c>
      <c r="I9" s="14" t="s">
        <v>4</v>
      </c>
      <c r="J9" s="14" t="s">
        <v>5</v>
      </c>
      <c r="K9" s="27"/>
      <c r="L9" s="14" t="s">
        <v>71</v>
      </c>
    </row>
    <row r="10" spans="1:12" ht="30.6" customHeight="1" x14ac:dyDescent="0.3">
      <c r="A10" s="126"/>
      <c r="B10" s="188"/>
      <c r="C10" s="187"/>
      <c r="D10" s="133" t="s">
        <v>66</v>
      </c>
      <c r="E10" s="133"/>
      <c r="F10" s="134"/>
      <c r="G10" s="124"/>
      <c r="H10" s="32" t="s">
        <v>66</v>
      </c>
      <c r="I10" s="24">
        <v>0</v>
      </c>
      <c r="J10" s="24">
        <f t="shared" ref="J10:J17" si="0">IF(I10=1,0,1)</f>
        <v>1</v>
      </c>
      <c r="K10" s="29" t="s">
        <v>63</v>
      </c>
      <c r="L10" s="27">
        <f t="shared" ref="L10:L17" si="1">$L$4*$J$6*$J$7*J10*$L$3</f>
        <v>0</v>
      </c>
    </row>
    <row r="11" spans="1:12" ht="30.6" customHeight="1" x14ac:dyDescent="0.3">
      <c r="A11" s="126"/>
      <c r="B11" s="188"/>
      <c r="C11" s="187"/>
      <c r="D11" s="136" t="s">
        <v>354</v>
      </c>
      <c r="E11" s="137"/>
      <c r="F11" s="138"/>
      <c r="G11" s="23"/>
      <c r="H11" s="32" t="s">
        <v>65</v>
      </c>
      <c r="I11" s="24">
        <v>0</v>
      </c>
      <c r="J11" s="24">
        <f t="shared" si="0"/>
        <v>1</v>
      </c>
      <c r="K11" s="29" t="s">
        <v>64</v>
      </c>
      <c r="L11" s="27">
        <f t="shared" si="1"/>
        <v>0</v>
      </c>
    </row>
    <row r="12" spans="1:12" ht="35.4" customHeight="1" x14ac:dyDescent="0.3">
      <c r="A12" s="126"/>
      <c r="B12" s="188"/>
      <c r="C12" s="187"/>
      <c r="D12" s="133" t="s">
        <v>355</v>
      </c>
      <c r="E12" s="132"/>
      <c r="F12" s="135"/>
      <c r="G12" s="125"/>
      <c r="H12" s="32" t="s">
        <v>67</v>
      </c>
      <c r="I12" s="24">
        <v>0</v>
      </c>
      <c r="J12" s="24">
        <f t="shared" si="0"/>
        <v>1</v>
      </c>
      <c r="K12" s="29" t="s">
        <v>88</v>
      </c>
      <c r="L12" s="27">
        <f t="shared" si="1"/>
        <v>0</v>
      </c>
    </row>
    <row r="13" spans="1:12" ht="33.6" customHeight="1" x14ac:dyDescent="0.3">
      <c r="A13" s="126"/>
      <c r="B13" s="188"/>
      <c r="C13" s="187"/>
      <c r="D13" s="133" t="s">
        <v>356</v>
      </c>
      <c r="E13" s="133"/>
      <c r="F13" s="134"/>
      <c r="G13" s="124"/>
      <c r="H13" s="32" t="s">
        <v>62</v>
      </c>
      <c r="I13" s="33">
        <v>0</v>
      </c>
      <c r="J13" s="24">
        <f t="shared" si="0"/>
        <v>1</v>
      </c>
      <c r="K13" s="29" t="s">
        <v>89</v>
      </c>
      <c r="L13" s="27">
        <f t="shared" si="1"/>
        <v>0</v>
      </c>
    </row>
    <row r="14" spans="1:12" ht="34.950000000000003" customHeight="1" x14ac:dyDescent="0.3">
      <c r="A14" s="126"/>
      <c r="B14" s="188"/>
      <c r="C14" s="187"/>
      <c r="D14" s="133" t="s">
        <v>357</v>
      </c>
      <c r="E14" s="132"/>
      <c r="F14" s="135"/>
      <c r="G14" s="125"/>
      <c r="H14" s="32" t="s">
        <v>68</v>
      </c>
      <c r="I14" s="24">
        <v>0</v>
      </c>
      <c r="J14" s="24">
        <f t="shared" si="0"/>
        <v>1</v>
      </c>
      <c r="K14" s="29" t="s">
        <v>90</v>
      </c>
      <c r="L14" s="27">
        <f t="shared" si="1"/>
        <v>0</v>
      </c>
    </row>
    <row r="15" spans="1:12" ht="35.4" customHeight="1" x14ac:dyDescent="0.3">
      <c r="A15" s="126"/>
      <c r="B15" s="188"/>
      <c r="C15" s="187"/>
      <c r="D15" s="133" t="s">
        <v>358</v>
      </c>
      <c r="E15" s="132"/>
      <c r="F15" s="135"/>
      <c r="G15" s="125"/>
      <c r="H15" s="32" t="s">
        <v>61</v>
      </c>
      <c r="I15" s="24">
        <v>0</v>
      </c>
      <c r="J15" s="24">
        <f t="shared" si="0"/>
        <v>1</v>
      </c>
      <c r="K15" s="29" t="s">
        <v>91</v>
      </c>
      <c r="L15" s="27">
        <f t="shared" si="1"/>
        <v>0</v>
      </c>
    </row>
    <row r="16" spans="1:12" ht="37.950000000000003" customHeight="1" x14ac:dyDescent="0.3">
      <c r="A16" s="126"/>
      <c r="B16" s="188"/>
      <c r="C16" s="187"/>
      <c r="D16" s="133" t="s">
        <v>359</v>
      </c>
      <c r="E16" s="132"/>
      <c r="F16" s="135"/>
      <c r="G16" s="125"/>
      <c r="H16" s="34" t="s">
        <v>70</v>
      </c>
      <c r="I16" s="35">
        <v>0</v>
      </c>
      <c r="J16" s="24">
        <f t="shared" si="0"/>
        <v>1</v>
      </c>
      <c r="K16" s="29" t="s">
        <v>92</v>
      </c>
      <c r="L16" s="27">
        <f t="shared" si="1"/>
        <v>0</v>
      </c>
    </row>
    <row r="17" spans="1:16" ht="37.950000000000003" customHeight="1" thickBot="1" x14ac:dyDescent="0.35">
      <c r="A17" s="126"/>
      <c r="B17" s="188"/>
      <c r="C17" s="187"/>
      <c r="D17" s="133" t="s">
        <v>69</v>
      </c>
      <c r="E17" s="132"/>
      <c r="F17" s="135"/>
      <c r="G17" s="125"/>
      <c r="H17" s="34" t="s">
        <v>69</v>
      </c>
      <c r="I17" s="35">
        <v>0</v>
      </c>
      <c r="J17" s="24">
        <f t="shared" si="0"/>
        <v>1</v>
      </c>
      <c r="K17" s="29" t="s">
        <v>93</v>
      </c>
      <c r="L17" s="27">
        <f t="shared" si="1"/>
        <v>0</v>
      </c>
      <c r="P17" s="40"/>
    </row>
    <row r="18" spans="1:16" ht="52.2" customHeight="1" thickBot="1" x14ac:dyDescent="0.35">
      <c r="A18" s="126"/>
      <c r="B18" s="139"/>
      <c r="C18" s="140"/>
      <c r="D18" s="140"/>
      <c r="E18" s="141"/>
      <c r="F18" s="141"/>
      <c r="G18" s="125"/>
      <c r="H18" s="33"/>
      <c r="I18" s="35"/>
      <c r="J18" s="36"/>
      <c r="K18" s="29" t="s">
        <v>72</v>
      </c>
      <c r="L18" s="30">
        <f>SUM(L10:L17)+L5</f>
        <v>0</v>
      </c>
    </row>
    <row r="19" spans="1:16" ht="14.4" hidden="1" customHeight="1" x14ac:dyDescent="0.3">
      <c r="B19" s="125"/>
      <c r="C19" s="124"/>
      <c r="D19" s="124"/>
      <c r="E19" s="124"/>
      <c r="F19" s="124"/>
      <c r="G19" s="124"/>
      <c r="H19" s="122"/>
      <c r="I19" s="122"/>
      <c r="J19" s="23"/>
      <c r="K19" s="23"/>
      <c r="L19" s="23"/>
    </row>
    <row r="20" spans="1:16" hidden="1" x14ac:dyDescent="0.3">
      <c r="B20" s="124"/>
      <c r="C20" s="189"/>
      <c r="D20" s="189"/>
      <c r="E20" s="189"/>
      <c r="F20" s="189"/>
      <c r="G20" s="189"/>
      <c r="H20" s="189"/>
      <c r="I20" s="189"/>
      <c r="J20" s="189"/>
      <c r="K20" s="189"/>
      <c r="L20" s="189"/>
    </row>
    <row r="23" spans="1:16" ht="24" hidden="1" customHeight="1" x14ac:dyDescent="0.3"/>
    <row r="24" spans="1:16" ht="15.6" hidden="1" customHeight="1" x14ac:dyDescent="0.3"/>
    <row r="40" ht="15.6" hidden="1" customHeight="1" x14ac:dyDescent="0.3"/>
    <row r="109" ht="14.4" hidden="1" customHeight="1" x14ac:dyDescent="0.3"/>
  </sheetData>
  <sheetProtection algorithmName="SHA-512" hashValue="W9gBpK7zHNoYKqkrlXStskC8XL1SfoOR2mInvHLbkaKpn5bKMBjaXfVU34N5b2I1/7hcqLBgN86NcDS8tP208A==" saltValue="FPHn/3fYye96FqKqnVLD+A==" spinCount="100000" sheet="1" objects="1" scenarios="1" selectLockedCells="1"/>
  <mergeCells count="9">
    <mergeCell ref="B3:E3"/>
    <mergeCell ref="D8:D9"/>
    <mergeCell ref="C8:C17"/>
    <mergeCell ref="B8:B17"/>
    <mergeCell ref="C20:L20"/>
    <mergeCell ref="D7:E7"/>
    <mergeCell ref="D6:E6"/>
    <mergeCell ref="D5:E5"/>
    <mergeCell ref="D4:E4"/>
  </mergeCells>
  <pageMargins left="0.7" right="0.7" top="0.75" bottom="0.75" header="0.3" footer="0.3"/>
  <pageSetup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_15">
              <controlPr defaultSize="0" autoFill="0" autoLine="0" autoPict="0">
                <anchor moveWithCells="1">
                  <from>
                    <xdr:col>4</xdr:col>
                    <xdr:colOff>350520</xdr:colOff>
                    <xdr:row>9</xdr:row>
                    <xdr:rowOff>99060</xdr:rowOff>
                  </from>
                  <to>
                    <xdr:col>4</xdr:col>
                    <xdr:colOff>571500</xdr:colOff>
                    <xdr:row>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_16">
              <controlPr defaultSize="0" autoFill="0" autoLine="0" autoPict="0">
                <anchor moveWithCells="1">
                  <from>
                    <xdr:col>4</xdr:col>
                    <xdr:colOff>822960</xdr:colOff>
                    <xdr:row>9</xdr:row>
                    <xdr:rowOff>99060</xdr:rowOff>
                  </from>
                  <to>
                    <xdr:col>4</xdr:col>
                    <xdr:colOff>1036320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Group Box 3">
              <controlPr defaultSize="0" autoFill="0" autoPict="0">
                <anchor moveWithCells="1">
                  <from>
                    <xdr:col>4</xdr:col>
                    <xdr:colOff>114300</xdr:colOff>
                    <xdr:row>9</xdr:row>
                    <xdr:rowOff>30480</xdr:rowOff>
                  </from>
                  <to>
                    <xdr:col>4</xdr:col>
                    <xdr:colOff>1318260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_17">
              <controlPr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121920</xdr:rowOff>
                  </from>
                  <to>
                    <xdr:col>4</xdr:col>
                    <xdr:colOff>571500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_18">
              <controlPr defaultSize="0" autoFill="0" autoLine="0" autoPict="0">
                <anchor moveWithCells="1">
                  <from>
                    <xdr:col>4</xdr:col>
                    <xdr:colOff>822960</xdr:colOff>
                    <xdr:row>10</xdr:row>
                    <xdr:rowOff>106680</xdr:rowOff>
                  </from>
                  <to>
                    <xdr:col>4</xdr:col>
                    <xdr:colOff>1135380</xdr:colOff>
                    <xdr:row>10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Group Box 6">
              <controlPr defaultSize="0" autoFill="0" autoPict="0">
                <anchor moveWithCells="1">
                  <from>
                    <xdr:col>4</xdr:col>
                    <xdr:colOff>121920</xdr:colOff>
                    <xdr:row>10</xdr:row>
                    <xdr:rowOff>68580</xdr:rowOff>
                  </from>
                  <to>
                    <xdr:col>4</xdr:col>
                    <xdr:colOff>1303020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_1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228600</xdr:rowOff>
                  </from>
                  <to>
                    <xdr:col>4</xdr:col>
                    <xdr:colOff>746760</xdr:colOff>
                    <xdr:row>3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_2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403860</xdr:rowOff>
                  </from>
                  <to>
                    <xdr:col>4</xdr:col>
                    <xdr:colOff>861060</xdr:colOff>
                    <xdr:row>3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B_3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556260</xdr:rowOff>
                  </from>
                  <to>
                    <xdr:col>4</xdr:col>
                    <xdr:colOff>952500</xdr:colOff>
                    <xdr:row>3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B_4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731520</xdr:rowOff>
                  </from>
                  <to>
                    <xdr:col>4</xdr:col>
                    <xdr:colOff>1112520</xdr:colOff>
                    <xdr:row>3</xdr:row>
                    <xdr:rowOff>922020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Group Box 11">
              <controlPr defaultSize="0" autoFill="0" autoPict="0">
                <anchor moveWithCells="1">
                  <from>
                    <xdr:col>3</xdr:col>
                    <xdr:colOff>68580</xdr:colOff>
                    <xdr:row>3</xdr:row>
                    <xdr:rowOff>60960</xdr:rowOff>
                  </from>
                  <to>
                    <xdr:col>4</xdr:col>
                    <xdr:colOff>1181100</xdr:colOff>
                    <xdr:row>3</xdr:row>
                    <xdr:rowOff>975360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5" name="Group Box 17">
              <controlPr defaultSize="0" autoFill="0" autoPict="0">
                <anchor moveWithCells="1">
                  <from>
                    <xdr:col>3</xdr:col>
                    <xdr:colOff>68580</xdr:colOff>
                    <xdr:row>4</xdr:row>
                    <xdr:rowOff>106680</xdr:rowOff>
                  </from>
                  <to>
                    <xdr:col>4</xdr:col>
                    <xdr:colOff>1188720</xdr:colOff>
                    <xdr:row>4</xdr:row>
                    <xdr:rowOff>868680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6" name="Group Box 23">
              <controlPr defaultSize="0" autoFill="0" autoPict="0">
                <anchor moveWithCells="1">
                  <from>
                    <xdr:col>3</xdr:col>
                    <xdr:colOff>83820</xdr:colOff>
                    <xdr:row>5</xdr:row>
                    <xdr:rowOff>99060</xdr:rowOff>
                  </from>
                  <to>
                    <xdr:col>4</xdr:col>
                    <xdr:colOff>1203960</xdr:colOff>
                    <xdr:row>5</xdr:row>
                    <xdr:rowOff>861060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7" name="B_8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190500</xdr:rowOff>
                  </from>
                  <to>
                    <xdr:col>4</xdr:col>
                    <xdr:colOff>975360</xdr:colOff>
                    <xdr:row>5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8" name="B_9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327660</xdr:rowOff>
                  </from>
                  <to>
                    <xdr:col>4</xdr:col>
                    <xdr:colOff>1089660</xdr:colOff>
                    <xdr:row>5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19" name="B_10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480060</xdr:rowOff>
                  </from>
                  <to>
                    <xdr:col>4</xdr:col>
                    <xdr:colOff>914400</xdr:colOff>
                    <xdr:row>5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0" name="B_11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632460</xdr:rowOff>
                  </from>
                  <to>
                    <xdr:col>4</xdr:col>
                    <xdr:colOff>1143000</xdr:colOff>
                    <xdr:row>5</xdr:row>
                    <xdr:rowOff>861060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1" name="Group Box 30">
              <controlPr defaultSize="0" autoFill="0" autoPict="0">
                <anchor moveWithCells="1">
                  <from>
                    <xdr:col>3</xdr:col>
                    <xdr:colOff>76200</xdr:colOff>
                    <xdr:row>6</xdr:row>
                    <xdr:rowOff>60960</xdr:rowOff>
                  </from>
                  <to>
                    <xdr:col>4</xdr:col>
                    <xdr:colOff>1219200</xdr:colOff>
                    <xdr:row>6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2" name="Group Box 34">
              <controlPr defaultSize="0" autoFill="0" autoPict="0">
                <anchor moveWithCells="1">
                  <from>
                    <xdr:col>4</xdr:col>
                    <xdr:colOff>114300</xdr:colOff>
                    <xdr:row>11</xdr:row>
                    <xdr:rowOff>68580</xdr:rowOff>
                  </from>
                  <to>
                    <xdr:col>4</xdr:col>
                    <xdr:colOff>1318260</xdr:colOff>
                    <xdr:row>11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23" name="Group Box 36">
              <controlPr defaultSize="0" autoFill="0" autoPict="0">
                <anchor moveWithCells="1">
                  <from>
                    <xdr:col>4</xdr:col>
                    <xdr:colOff>114300</xdr:colOff>
                    <xdr:row>12</xdr:row>
                    <xdr:rowOff>45720</xdr:rowOff>
                  </from>
                  <to>
                    <xdr:col>4</xdr:col>
                    <xdr:colOff>1318260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4" name="Group Box 37">
              <controlPr defaultSize="0" autoFill="0" autoPict="0">
                <anchor moveWithCells="1">
                  <from>
                    <xdr:col>4</xdr:col>
                    <xdr:colOff>114300</xdr:colOff>
                    <xdr:row>13</xdr:row>
                    <xdr:rowOff>60960</xdr:rowOff>
                  </from>
                  <to>
                    <xdr:col>4</xdr:col>
                    <xdr:colOff>1318260</xdr:colOff>
                    <xdr:row>13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25" name="Group Box 38">
              <controlPr defaultSize="0" autoFill="0" autoPict="0">
                <anchor moveWithCells="1">
                  <from>
                    <xdr:col>4</xdr:col>
                    <xdr:colOff>114300</xdr:colOff>
                    <xdr:row>14</xdr:row>
                    <xdr:rowOff>68580</xdr:rowOff>
                  </from>
                  <to>
                    <xdr:col>4</xdr:col>
                    <xdr:colOff>1318260</xdr:colOff>
                    <xdr:row>14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26" name="Group Box 39">
              <controlPr defaultSize="0" autoFill="0" autoPict="0">
                <anchor moveWithCells="1">
                  <from>
                    <xdr:col>4</xdr:col>
                    <xdr:colOff>114300</xdr:colOff>
                    <xdr:row>15</xdr:row>
                    <xdr:rowOff>76200</xdr:rowOff>
                  </from>
                  <to>
                    <xdr:col>4</xdr:col>
                    <xdr:colOff>1318260</xdr:colOff>
                    <xdr:row>15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27" name="B_19">
              <controlPr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137160</xdr:rowOff>
                  </from>
                  <to>
                    <xdr:col>4</xdr:col>
                    <xdr:colOff>708660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28" name="B_20">
              <controlPr defaultSize="0" autoFill="0" autoLine="0" autoPict="0">
                <anchor moveWithCells="1">
                  <from>
                    <xdr:col>4</xdr:col>
                    <xdr:colOff>830580</xdr:colOff>
                    <xdr:row>11</xdr:row>
                    <xdr:rowOff>137160</xdr:rowOff>
                  </from>
                  <to>
                    <xdr:col>4</xdr:col>
                    <xdr:colOff>1203960</xdr:colOff>
                    <xdr:row>11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29" name="B_21">
              <controlPr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106680</xdr:rowOff>
                  </from>
                  <to>
                    <xdr:col>4</xdr:col>
                    <xdr:colOff>609600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30" name="B_22">
              <controlPr defaultSize="0" autoFill="0" autoLine="0" autoPict="0">
                <anchor moveWithCells="1">
                  <from>
                    <xdr:col>4</xdr:col>
                    <xdr:colOff>845820</xdr:colOff>
                    <xdr:row>12</xdr:row>
                    <xdr:rowOff>114300</xdr:rowOff>
                  </from>
                  <to>
                    <xdr:col>4</xdr:col>
                    <xdr:colOff>1089660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31" name="B_23">
              <controlPr defaultSize="0" autoFill="0" autoLine="0" autoPict="0">
                <anchor moveWithCells="1">
                  <from>
                    <xdr:col>4</xdr:col>
                    <xdr:colOff>373380</xdr:colOff>
                    <xdr:row>13</xdr:row>
                    <xdr:rowOff>137160</xdr:rowOff>
                  </from>
                  <to>
                    <xdr:col>4</xdr:col>
                    <xdr:colOff>655320</xdr:colOff>
                    <xdr:row>13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32" name="B_24">
              <controlPr defaultSize="0" autoFill="0" autoLine="0" autoPict="0">
                <anchor moveWithCells="1">
                  <from>
                    <xdr:col>4</xdr:col>
                    <xdr:colOff>845820</xdr:colOff>
                    <xdr:row>13</xdr:row>
                    <xdr:rowOff>137160</xdr:rowOff>
                  </from>
                  <to>
                    <xdr:col>4</xdr:col>
                    <xdr:colOff>1112520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33" name="B_25">
              <controlPr defaultSize="0" autoFill="0" autoLine="0" autoPict="0">
                <anchor moveWithCells="1">
                  <from>
                    <xdr:col>4</xdr:col>
                    <xdr:colOff>381000</xdr:colOff>
                    <xdr:row>14</xdr:row>
                    <xdr:rowOff>121920</xdr:rowOff>
                  </from>
                  <to>
                    <xdr:col>4</xdr:col>
                    <xdr:colOff>655320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34" name="B_26">
              <controlPr defaultSize="0" autoFill="0" autoLine="0" autoPict="0">
                <anchor moveWithCells="1">
                  <from>
                    <xdr:col>4</xdr:col>
                    <xdr:colOff>861060</xdr:colOff>
                    <xdr:row>14</xdr:row>
                    <xdr:rowOff>121920</xdr:rowOff>
                  </from>
                  <to>
                    <xdr:col>4</xdr:col>
                    <xdr:colOff>1173480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35" name="B_27">
              <controlPr defaultSize="0" autoFill="0" autoLine="0" autoPict="0">
                <anchor moveWithCells="1">
                  <from>
                    <xdr:col>4</xdr:col>
                    <xdr:colOff>381000</xdr:colOff>
                    <xdr:row>15</xdr:row>
                    <xdr:rowOff>137160</xdr:rowOff>
                  </from>
                  <to>
                    <xdr:col>4</xdr:col>
                    <xdr:colOff>678180</xdr:colOff>
                    <xdr:row>15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36" name="B_28">
              <controlPr defaultSize="0" autoFill="0" autoLine="0" autoPict="0">
                <anchor moveWithCells="1">
                  <from>
                    <xdr:col>4</xdr:col>
                    <xdr:colOff>861060</xdr:colOff>
                    <xdr:row>15</xdr:row>
                    <xdr:rowOff>137160</xdr:rowOff>
                  </from>
                  <to>
                    <xdr:col>4</xdr:col>
                    <xdr:colOff>1211580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37" name="Group Box 117">
              <controlPr defaultSize="0" autoFill="0" autoPict="0">
                <anchor moveWithCells="1">
                  <from>
                    <xdr:col>4</xdr:col>
                    <xdr:colOff>114300</xdr:colOff>
                    <xdr:row>16</xdr:row>
                    <xdr:rowOff>60960</xdr:rowOff>
                  </from>
                  <to>
                    <xdr:col>4</xdr:col>
                    <xdr:colOff>1318260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38" name="B_29">
              <controlPr defaultSize="0" autoFill="0" autoLine="0" autoPict="0">
                <anchor moveWithCells="1">
                  <from>
                    <xdr:col>4</xdr:col>
                    <xdr:colOff>381000</xdr:colOff>
                    <xdr:row>16</xdr:row>
                    <xdr:rowOff>106680</xdr:rowOff>
                  </from>
                  <to>
                    <xdr:col>4</xdr:col>
                    <xdr:colOff>678180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39" name="B_30">
              <controlPr defaultSize="0" autoFill="0" autoLine="0" autoPict="0">
                <anchor moveWithCells="1">
                  <from>
                    <xdr:col>4</xdr:col>
                    <xdr:colOff>861060</xdr:colOff>
                    <xdr:row>16</xdr:row>
                    <xdr:rowOff>106680</xdr:rowOff>
                  </from>
                  <to>
                    <xdr:col>4</xdr:col>
                    <xdr:colOff>1211580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40" name="B_5">
              <controlPr defaultSize="0" autoFill="0" autoLine="0" autoPict="0">
                <anchor moveWithCells="1">
                  <from>
                    <xdr:col>3</xdr:col>
                    <xdr:colOff>137160</xdr:colOff>
                    <xdr:row>4</xdr:row>
                    <xdr:rowOff>236220</xdr:rowOff>
                  </from>
                  <to>
                    <xdr:col>4</xdr:col>
                    <xdr:colOff>1135380</xdr:colOff>
                    <xdr:row>4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41" name="B_6">
              <controlPr defaultSize="0" autoFill="0" autoLine="0" autoPict="0">
                <anchor moveWithCells="1">
                  <from>
                    <xdr:col>3</xdr:col>
                    <xdr:colOff>137160</xdr:colOff>
                    <xdr:row>4</xdr:row>
                    <xdr:rowOff>426720</xdr:rowOff>
                  </from>
                  <to>
                    <xdr:col>4</xdr:col>
                    <xdr:colOff>1112520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42" name="B_7">
              <controlPr defaultSize="0" autoFill="0" autoLine="0" autoPict="0">
                <anchor moveWithCells="1">
                  <from>
                    <xdr:col>3</xdr:col>
                    <xdr:colOff>137160</xdr:colOff>
                    <xdr:row>4</xdr:row>
                    <xdr:rowOff>594360</xdr:rowOff>
                  </from>
                  <to>
                    <xdr:col>4</xdr:col>
                    <xdr:colOff>1028700</xdr:colOff>
                    <xdr:row>4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43" name="B_12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121920</xdr:rowOff>
                  </from>
                  <to>
                    <xdr:col>4</xdr:col>
                    <xdr:colOff>784860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44" name="B_13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381000</xdr:rowOff>
                  </from>
                  <to>
                    <xdr:col>4</xdr:col>
                    <xdr:colOff>1036320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45" name="B_14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556260</xdr:rowOff>
                  </from>
                  <to>
                    <xdr:col>4</xdr:col>
                    <xdr:colOff>830580</xdr:colOff>
                    <xdr:row>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46" name="B_31">
              <controlPr defaultSize="0" autoFill="0" autoLine="0" autoPict="0">
                <anchor moveWithCells="1">
                  <from>
                    <xdr:col>4</xdr:col>
                    <xdr:colOff>731520</xdr:colOff>
                    <xdr:row>4</xdr:row>
                    <xdr:rowOff>251460</xdr:rowOff>
                  </from>
                  <to>
                    <xdr:col>4</xdr:col>
                    <xdr:colOff>1135380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47" name="B_32">
              <controlPr defaultSize="0" autoFill="0" autoLine="0" autoPict="0">
                <anchor moveWithCells="1">
                  <from>
                    <xdr:col>4</xdr:col>
                    <xdr:colOff>754380</xdr:colOff>
                    <xdr:row>6</xdr:row>
                    <xdr:rowOff>175260</xdr:rowOff>
                  </from>
                  <to>
                    <xdr:col>4</xdr:col>
                    <xdr:colOff>1143000</xdr:colOff>
                    <xdr:row>6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pageSetUpPr fitToPage="1"/>
  </sheetPr>
  <dimension ref="A1:XFC107"/>
  <sheetViews>
    <sheetView showGridLines="0" showRowColHeaders="0" zoomScaleNormal="100" workbookViewId="0">
      <selection activeCell="G1" sqref="G1:XFD1048576"/>
    </sheetView>
  </sheetViews>
  <sheetFormatPr defaultColWidth="0" defaultRowHeight="14.4" zeroHeight="1" x14ac:dyDescent="0.3"/>
  <cols>
    <col min="1" max="1" width="20.6640625" style="23" customWidth="1"/>
    <col min="2" max="2" width="10.6640625" style="27" customWidth="1"/>
    <col min="3" max="3" width="30.6640625" style="13" customWidth="1"/>
    <col min="4" max="5" width="20.6640625" style="13" customWidth="1"/>
    <col min="6" max="6" width="10.6640625" style="23" customWidth="1"/>
    <col min="7" max="7" width="4.33203125" style="13" hidden="1"/>
    <col min="8" max="9" width="4.33203125" style="27" hidden="1"/>
    <col min="10" max="16383" width="4.33203125" style="13" hidden="1"/>
    <col min="16384" max="16384" width="4.5546875" style="13" hidden="1"/>
  </cols>
  <sheetData>
    <row r="1" spans="1:16" s="23" customFormat="1" x14ac:dyDescent="0.3">
      <c r="A1" s="4"/>
      <c r="B1" s="72"/>
      <c r="C1" s="4"/>
      <c r="D1" s="4"/>
      <c r="E1" s="4"/>
      <c r="F1" s="4"/>
      <c r="H1" s="122"/>
      <c r="I1" s="122"/>
    </row>
    <row r="2" spans="1:16" x14ac:dyDescent="0.3">
      <c r="A2" s="4"/>
      <c r="B2" s="73"/>
      <c r="C2" s="56"/>
      <c r="D2" s="4"/>
      <c r="E2" s="4"/>
      <c r="F2" s="4"/>
      <c r="G2" s="23"/>
    </row>
    <row r="3" spans="1:16" x14ac:dyDescent="0.3">
      <c r="A3" s="4"/>
      <c r="B3" s="168" t="s">
        <v>360</v>
      </c>
      <c r="C3" s="169"/>
      <c r="D3" s="169"/>
      <c r="E3" s="170"/>
      <c r="F3" s="119"/>
      <c r="G3" s="23"/>
      <c r="H3" s="29" t="s">
        <v>18</v>
      </c>
      <c r="I3" s="29" t="s">
        <v>4</v>
      </c>
      <c r="J3" s="29" t="s">
        <v>5</v>
      </c>
    </row>
    <row r="4" spans="1:16" ht="74.400000000000006" customHeight="1" x14ac:dyDescent="0.3">
      <c r="A4" s="4"/>
      <c r="B4" s="89">
        <v>3</v>
      </c>
      <c r="C4" s="77" t="s">
        <v>363</v>
      </c>
      <c r="D4" s="191"/>
      <c r="E4" s="191"/>
      <c r="F4" s="120"/>
      <c r="G4" s="23"/>
      <c r="H4" s="24">
        <v>3</v>
      </c>
      <c r="I4" s="24">
        <v>0</v>
      </c>
      <c r="J4" s="24" t="b">
        <f>IF(I4=1,0,IF(I4=2,1,IF(I4=3,3,IF(I4=4,10))))</f>
        <v>0</v>
      </c>
      <c r="K4" s="52" t="s">
        <v>56</v>
      </c>
      <c r="L4" s="40" t="b">
        <f>'5. Agente'!H28</f>
        <v>0</v>
      </c>
    </row>
    <row r="5" spans="1:16" ht="69.599999999999994" customHeight="1" x14ac:dyDescent="0.3">
      <c r="A5" s="4"/>
      <c r="B5" s="89">
        <v>3.1</v>
      </c>
      <c r="C5" s="77" t="s">
        <v>364</v>
      </c>
      <c r="D5" s="191"/>
      <c r="E5" s="191"/>
      <c r="F5" s="120"/>
      <c r="G5" s="23"/>
      <c r="H5" s="24">
        <v>3.1</v>
      </c>
      <c r="I5" s="31">
        <v>0</v>
      </c>
      <c r="J5" s="24" t="b">
        <f>IF(I5=1,1,IF(I5=2,3,IF(I5=3,10,IF(I5=4,0))))</f>
        <v>0</v>
      </c>
      <c r="K5" s="52" t="s">
        <v>114</v>
      </c>
      <c r="L5" s="40">
        <v>1</v>
      </c>
    </row>
    <row r="6" spans="1:16" ht="14.4" customHeight="1" x14ac:dyDescent="0.3">
      <c r="A6" s="4"/>
      <c r="B6" s="166">
        <v>3.2</v>
      </c>
      <c r="C6" s="192" t="s">
        <v>369</v>
      </c>
      <c r="D6" s="166" t="s">
        <v>367</v>
      </c>
      <c r="E6" s="89" t="s">
        <v>368</v>
      </c>
      <c r="F6" s="121"/>
      <c r="G6" s="23"/>
      <c r="K6" s="27"/>
    </row>
    <row r="7" spans="1:16" x14ac:dyDescent="0.3">
      <c r="A7" s="4"/>
      <c r="B7" s="166"/>
      <c r="C7" s="192"/>
      <c r="D7" s="166"/>
      <c r="E7" s="132"/>
      <c r="F7" s="121"/>
      <c r="G7" s="23"/>
      <c r="H7" s="14" t="s">
        <v>113</v>
      </c>
      <c r="I7" s="14" t="s">
        <v>4</v>
      </c>
      <c r="J7" s="14" t="s">
        <v>5</v>
      </c>
      <c r="K7" s="27"/>
      <c r="L7" s="14" t="s">
        <v>71</v>
      </c>
    </row>
    <row r="8" spans="1:16" ht="30.6" customHeight="1" x14ac:dyDescent="0.3">
      <c r="A8" s="4"/>
      <c r="B8" s="166"/>
      <c r="C8" s="192"/>
      <c r="D8" s="77" t="s">
        <v>66</v>
      </c>
      <c r="E8" s="77"/>
      <c r="F8" s="120"/>
      <c r="G8" s="34"/>
      <c r="H8" s="32" t="s">
        <v>66</v>
      </c>
      <c r="I8" s="24">
        <v>0</v>
      </c>
      <c r="J8" s="24">
        <f t="shared" ref="J8:J13" si="0">IF(I8=1,0,1)</f>
        <v>1</v>
      </c>
      <c r="K8" s="29" t="s">
        <v>94</v>
      </c>
      <c r="L8" s="24">
        <f>$L$5*$J$4*$J$5*J8*$L$4</f>
        <v>0</v>
      </c>
    </row>
    <row r="9" spans="1:16" ht="30.6" customHeight="1" x14ac:dyDescent="0.3">
      <c r="A9" s="4"/>
      <c r="B9" s="166"/>
      <c r="C9" s="192"/>
      <c r="D9" s="84" t="s">
        <v>354</v>
      </c>
      <c r="E9" s="87"/>
      <c r="F9" s="85"/>
      <c r="G9" s="34"/>
      <c r="H9" s="32" t="s">
        <v>65</v>
      </c>
      <c r="I9" s="24">
        <v>0</v>
      </c>
      <c r="J9" s="24">
        <f t="shared" si="0"/>
        <v>1</v>
      </c>
      <c r="K9" s="29" t="s">
        <v>73</v>
      </c>
      <c r="L9" s="24">
        <f t="shared" ref="L9:L16" si="1">$L$5*$J$4*$J$5*J9*$L$4</f>
        <v>0</v>
      </c>
    </row>
    <row r="10" spans="1:16" ht="35.4" customHeight="1" x14ac:dyDescent="0.3">
      <c r="A10" s="4"/>
      <c r="B10" s="166"/>
      <c r="C10" s="192"/>
      <c r="D10" s="77" t="s">
        <v>355</v>
      </c>
      <c r="E10" s="89"/>
      <c r="F10" s="121"/>
      <c r="G10" s="34"/>
      <c r="H10" s="32" t="s">
        <v>67</v>
      </c>
      <c r="I10" s="24">
        <v>0</v>
      </c>
      <c r="J10" s="24">
        <f t="shared" si="0"/>
        <v>1</v>
      </c>
      <c r="K10" s="29" t="s">
        <v>95</v>
      </c>
      <c r="L10" s="24">
        <f t="shared" si="1"/>
        <v>0</v>
      </c>
    </row>
    <row r="11" spans="1:16" ht="32.4" customHeight="1" x14ac:dyDescent="0.3">
      <c r="A11" s="4"/>
      <c r="B11" s="166"/>
      <c r="C11" s="192"/>
      <c r="D11" s="77" t="s">
        <v>74</v>
      </c>
      <c r="E11" s="89"/>
      <c r="F11" s="121"/>
      <c r="G11" s="23"/>
      <c r="H11" s="34" t="s">
        <v>74</v>
      </c>
      <c r="I11" s="24">
        <v>0</v>
      </c>
      <c r="J11" s="24">
        <f t="shared" si="0"/>
        <v>1</v>
      </c>
      <c r="K11" s="29" t="s">
        <v>96</v>
      </c>
      <c r="L11" s="24">
        <f>$L$5*$J$4*$J$5*J11*$L$4</f>
        <v>0</v>
      </c>
    </row>
    <row r="12" spans="1:16" ht="33.6" customHeight="1" x14ac:dyDescent="0.3">
      <c r="A12" s="4"/>
      <c r="B12" s="166"/>
      <c r="C12" s="192"/>
      <c r="D12" s="77" t="s">
        <v>361</v>
      </c>
      <c r="E12" s="77"/>
      <c r="F12" s="120"/>
      <c r="G12" s="40"/>
      <c r="H12" s="32" t="s">
        <v>62</v>
      </c>
      <c r="I12" s="33">
        <v>0</v>
      </c>
      <c r="J12" s="24">
        <f t="shared" si="0"/>
        <v>1</v>
      </c>
      <c r="K12" s="29" t="s">
        <v>97</v>
      </c>
      <c r="L12" s="24">
        <f>$L$5*$J$4*$J$5*J12*$L$4</f>
        <v>0</v>
      </c>
    </row>
    <row r="13" spans="1:16" ht="34.950000000000003" customHeight="1" x14ac:dyDescent="0.3">
      <c r="A13" s="4"/>
      <c r="B13" s="166"/>
      <c r="C13" s="192"/>
      <c r="D13" s="77" t="s">
        <v>357</v>
      </c>
      <c r="E13" s="89"/>
      <c r="F13" s="121"/>
      <c r="G13" s="34"/>
      <c r="H13" s="32" t="s">
        <v>68</v>
      </c>
      <c r="I13" s="24">
        <v>0</v>
      </c>
      <c r="J13" s="24">
        <f t="shared" si="0"/>
        <v>1</v>
      </c>
      <c r="K13" s="29" t="s">
        <v>98</v>
      </c>
      <c r="L13" s="24">
        <f t="shared" si="1"/>
        <v>0</v>
      </c>
    </row>
    <row r="14" spans="1:16" ht="35.4" customHeight="1" x14ac:dyDescent="0.3">
      <c r="A14" s="4"/>
      <c r="B14" s="166"/>
      <c r="C14" s="192"/>
      <c r="D14" s="77" t="s">
        <v>358</v>
      </c>
      <c r="E14" s="89"/>
      <c r="F14" s="121"/>
      <c r="G14" s="34"/>
      <c r="H14" s="32" t="s">
        <v>61</v>
      </c>
      <c r="I14" s="24">
        <v>0</v>
      </c>
      <c r="J14" s="24">
        <f>IF(I14=1,0,1)</f>
        <v>1</v>
      </c>
      <c r="K14" s="29" t="s">
        <v>99</v>
      </c>
      <c r="L14" s="24">
        <f t="shared" si="1"/>
        <v>0</v>
      </c>
    </row>
    <row r="15" spans="1:16" ht="37.950000000000003" customHeight="1" x14ac:dyDescent="0.3">
      <c r="A15" s="4"/>
      <c r="B15" s="166"/>
      <c r="C15" s="192"/>
      <c r="D15" s="77" t="s">
        <v>362</v>
      </c>
      <c r="E15" s="89"/>
      <c r="F15" s="121"/>
      <c r="G15" s="34"/>
      <c r="H15" s="34" t="s">
        <v>70</v>
      </c>
      <c r="I15" s="35">
        <v>0</v>
      </c>
      <c r="J15" s="24">
        <f>IF(I15=1,0,1)</f>
        <v>1</v>
      </c>
      <c r="K15" s="29" t="s">
        <v>100</v>
      </c>
      <c r="L15" s="24">
        <f t="shared" si="1"/>
        <v>0</v>
      </c>
    </row>
    <row r="16" spans="1:16" ht="37.950000000000003" customHeight="1" thickBot="1" x14ac:dyDescent="0.35">
      <c r="A16" s="4"/>
      <c r="B16" s="166"/>
      <c r="C16" s="192"/>
      <c r="D16" s="77" t="s">
        <v>69</v>
      </c>
      <c r="E16" s="89"/>
      <c r="F16" s="121"/>
      <c r="G16" s="34"/>
      <c r="H16" s="34" t="s">
        <v>69</v>
      </c>
      <c r="I16" s="35">
        <v>0</v>
      </c>
      <c r="J16" s="24">
        <f>IF(I16=1,0,1)</f>
        <v>1</v>
      </c>
      <c r="K16" s="29" t="s">
        <v>101</v>
      </c>
      <c r="L16" s="24">
        <f t="shared" si="1"/>
        <v>0</v>
      </c>
      <c r="P16" s="40"/>
    </row>
    <row r="17" spans="1:12" ht="22.2" customHeight="1" thickBot="1" x14ac:dyDescent="0.35">
      <c r="A17" s="4"/>
      <c r="B17" s="74"/>
      <c r="C17" s="59"/>
      <c r="D17" s="59"/>
      <c r="E17" s="64"/>
      <c r="F17" s="64"/>
      <c r="G17" s="34"/>
      <c r="H17" s="33"/>
      <c r="I17" s="35"/>
      <c r="J17" s="36"/>
      <c r="K17" s="29" t="s">
        <v>87</v>
      </c>
      <c r="L17" s="30">
        <f>SUM(L8:L16)</f>
        <v>0</v>
      </c>
    </row>
    <row r="18" spans="1:12" x14ac:dyDescent="0.3">
      <c r="A18" s="4"/>
      <c r="B18" s="64"/>
      <c r="C18" s="59"/>
      <c r="D18" s="59"/>
      <c r="E18" s="59"/>
      <c r="F18" s="59"/>
      <c r="G18" s="23"/>
      <c r="H18" s="122"/>
      <c r="I18" s="122"/>
      <c r="J18" s="23"/>
      <c r="K18" s="23"/>
      <c r="L18" s="23"/>
    </row>
    <row r="19" spans="1:12" x14ac:dyDescent="0.3">
      <c r="A19" s="4"/>
      <c r="B19" s="59"/>
      <c r="C19" s="59"/>
      <c r="D19" s="59"/>
      <c r="E19" s="59"/>
      <c r="F19" s="59"/>
      <c r="G19" s="124"/>
      <c r="H19" s="124"/>
      <c r="I19" s="124"/>
      <c r="J19" s="124"/>
      <c r="K19" s="124"/>
      <c r="L19" s="124"/>
    </row>
    <row r="28" spans="1:12" ht="11.25" hidden="1" customHeight="1" x14ac:dyDescent="0.3"/>
    <row r="38" spans="2:16" s="23" customFormat="1" ht="15.6" hidden="1" customHeight="1" x14ac:dyDescent="0.3">
      <c r="B38" s="27"/>
      <c r="C38" s="13"/>
      <c r="D38" s="13"/>
      <c r="E38" s="13"/>
      <c r="G38" s="13"/>
      <c r="H38" s="27"/>
      <c r="I38" s="27"/>
      <c r="J38" s="13"/>
      <c r="K38" s="13"/>
      <c r="L38" s="13"/>
      <c r="M38" s="13"/>
      <c r="N38" s="13"/>
      <c r="O38" s="13"/>
      <c r="P38" s="13"/>
    </row>
    <row r="107" spans="2:16" s="23" customFormat="1" ht="14.4" hidden="1" customHeight="1" x14ac:dyDescent="0.3">
      <c r="B107" s="27"/>
      <c r="C107" s="13"/>
      <c r="D107" s="13"/>
      <c r="E107" s="13"/>
      <c r="G107" s="13"/>
      <c r="H107" s="27"/>
      <c r="I107" s="27"/>
      <c r="J107" s="13"/>
      <c r="K107" s="13"/>
      <c r="L107" s="13"/>
      <c r="M107" s="13"/>
      <c r="N107" s="13"/>
      <c r="O107" s="13"/>
      <c r="P107" s="13"/>
    </row>
  </sheetData>
  <sheetProtection algorithmName="SHA-512" hashValue="6gu1/cShNuRgQ1J2c1vgO+oi+HrCTl6qJFMRqopFl7pZAbINTUm+l2R9MEHjMDezNe/XKA0tOSuhzzi78sZPsQ==" saltValue="VKfCZrIMp7InAbnrMe9x2Q==" spinCount="100000" sheet="1" objects="1" scenarios="1" selectLockedCells="1"/>
  <mergeCells count="6">
    <mergeCell ref="B3:E3"/>
    <mergeCell ref="D4:E4"/>
    <mergeCell ref="D5:E5"/>
    <mergeCell ref="B6:B16"/>
    <mergeCell ref="C6:C16"/>
    <mergeCell ref="D6:D7"/>
  </mergeCells>
  <pageMargins left="0.7" right="0.7" top="0.75" bottom="0.75" header="0.3" footer="0.3"/>
  <pageSetup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_8">
              <controlPr defaultSize="0" autoFill="0" autoLine="0" autoPict="0">
                <anchor moveWithCells="1">
                  <from>
                    <xdr:col>4</xdr:col>
                    <xdr:colOff>350520</xdr:colOff>
                    <xdr:row>7</xdr:row>
                    <xdr:rowOff>114300</xdr:rowOff>
                  </from>
                  <to>
                    <xdr:col>4</xdr:col>
                    <xdr:colOff>571500</xdr:colOff>
                    <xdr:row>7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_9">
              <controlPr defaultSize="0" autoFill="0" autoLine="0" autoPict="0">
                <anchor moveWithCells="1">
                  <from>
                    <xdr:col>4</xdr:col>
                    <xdr:colOff>822960</xdr:colOff>
                    <xdr:row>7</xdr:row>
                    <xdr:rowOff>121920</xdr:rowOff>
                  </from>
                  <to>
                    <xdr:col>4</xdr:col>
                    <xdr:colOff>1036320</xdr:colOff>
                    <xdr:row>7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Group Box 3">
              <controlPr defaultSize="0" autoFill="0" autoPict="0">
                <anchor moveWithCells="1">
                  <from>
                    <xdr:col>4</xdr:col>
                    <xdr:colOff>114300</xdr:colOff>
                    <xdr:row>7</xdr:row>
                    <xdr:rowOff>30480</xdr:rowOff>
                  </from>
                  <to>
                    <xdr:col>4</xdr:col>
                    <xdr:colOff>1318260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_10">
              <controlPr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121920</xdr:rowOff>
                  </from>
                  <to>
                    <xdr:col>4</xdr:col>
                    <xdr:colOff>571500</xdr:colOff>
                    <xdr:row>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_11">
              <controlPr defaultSize="0" autoFill="0" autoLine="0" autoPict="0">
                <anchor moveWithCells="1">
                  <from>
                    <xdr:col>4</xdr:col>
                    <xdr:colOff>822960</xdr:colOff>
                    <xdr:row>8</xdr:row>
                    <xdr:rowOff>106680</xdr:rowOff>
                  </from>
                  <to>
                    <xdr:col>4</xdr:col>
                    <xdr:colOff>1135380</xdr:colOff>
                    <xdr:row>8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Group Box 6">
              <controlPr defaultSize="0" autoFill="0" autoPict="0">
                <anchor moveWithCells="1">
                  <from>
                    <xdr:col>4</xdr:col>
                    <xdr:colOff>121920</xdr:colOff>
                    <xdr:row>8</xdr:row>
                    <xdr:rowOff>68580</xdr:rowOff>
                  </from>
                  <to>
                    <xdr:col>4</xdr:col>
                    <xdr:colOff>1303020</xdr:colOff>
                    <xdr:row>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0" name="Group Box 16">
              <controlPr defaultSize="0" autoFill="0" autoPict="0">
                <anchor moveWithCells="1">
                  <from>
                    <xdr:col>3</xdr:col>
                    <xdr:colOff>83820</xdr:colOff>
                    <xdr:row>3</xdr:row>
                    <xdr:rowOff>68580</xdr:rowOff>
                  </from>
                  <to>
                    <xdr:col>4</xdr:col>
                    <xdr:colOff>1165860</xdr:colOff>
                    <xdr:row>3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1" name="B_1">
              <controlPr defaultSize="0" autoFill="0" autoLine="0" autoPict="0">
                <anchor moveWithCells="1">
                  <from>
                    <xdr:col>3</xdr:col>
                    <xdr:colOff>114300</xdr:colOff>
                    <xdr:row>3</xdr:row>
                    <xdr:rowOff>175260</xdr:rowOff>
                  </from>
                  <to>
                    <xdr:col>4</xdr:col>
                    <xdr:colOff>982980</xdr:colOff>
                    <xdr:row>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12" name="B_2">
              <controlPr defaultSize="0" autoFill="0" autoLine="0" autoPict="0">
                <anchor moveWithCells="1">
                  <from>
                    <xdr:col>3</xdr:col>
                    <xdr:colOff>114300</xdr:colOff>
                    <xdr:row>3</xdr:row>
                    <xdr:rowOff>335280</xdr:rowOff>
                  </from>
                  <to>
                    <xdr:col>4</xdr:col>
                    <xdr:colOff>830580</xdr:colOff>
                    <xdr:row>3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13" name="B_3">
              <controlPr defaultSize="0" autoFill="0" autoLine="0" autoPict="0">
                <anchor moveWithCells="1">
                  <from>
                    <xdr:col>3</xdr:col>
                    <xdr:colOff>114300</xdr:colOff>
                    <xdr:row>3</xdr:row>
                    <xdr:rowOff>487680</xdr:rowOff>
                  </from>
                  <to>
                    <xdr:col>4</xdr:col>
                    <xdr:colOff>822960</xdr:colOff>
                    <xdr:row>3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14" name="B_4">
              <controlPr defaultSize="0" autoFill="0" autoLine="0" autoPict="0">
                <anchor moveWithCells="1">
                  <from>
                    <xdr:col>3</xdr:col>
                    <xdr:colOff>114300</xdr:colOff>
                    <xdr:row>3</xdr:row>
                    <xdr:rowOff>647700</xdr:rowOff>
                  </from>
                  <to>
                    <xdr:col>4</xdr:col>
                    <xdr:colOff>1112520</xdr:colOff>
                    <xdr:row>3</xdr:row>
                    <xdr:rowOff>868680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15" name="Group Box 21">
              <controlPr defaultSize="0" autoFill="0" autoPict="0">
                <anchor moveWithCells="1">
                  <from>
                    <xdr:col>3</xdr:col>
                    <xdr:colOff>76200</xdr:colOff>
                    <xdr:row>4</xdr:row>
                    <xdr:rowOff>60960</xdr:rowOff>
                  </from>
                  <to>
                    <xdr:col>4</xdr:col>
                    <xdr:colOff>1173480</xdr:colOff>
                    <xdr:row>4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16" name="Group Box 25">
              <controlPr defaultSize="0" autoFill="0" autoPict="0">
                <anchor moveWithCells="1">
                  <from>
                    <xdr:col>4</xdr:col>
                    <xdr:colOff>114300</xdr:colOff>
                    <xdr:row>9</xdr:row>
                    <xdr:rowOff>68580</xdr:rowOff>
                  </from>
                  <to>
                    <xdr:col>4</xdr:col>
                    <xdr:colOff>1318260</xdr:colOff>
                    <xdr:row>9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17" name="Group Box 26">
              <controlPr defaultSize="0" autoFill="0" autoPict="0">
                <anchor moveWithCells="1">
                  <from>
                    <xdr:col>4</xdr:col>
                    <xdr:colOff>114300</xdr:colOff>
                    <xdr:row>10</xdr:row>
                    <xdr:rowOff>45720</xdr:rowOff>
                  </from>
                  <to>
                    <xdr:col>4</xdr:col>
                    <xdr:colOff>1318260</xdr:colOff>
                    <xdr:row>10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18" name="Group Box 27">
              <controlPr defaultSize="0" autoFill="0" autoPict="0">
                <anchor moveWithCells="1">
                  <from>
                    <xdr:col>4</xdr:col>
                    <xdr:colOff>114300</xdr:colOff>
                    <xdr:row>11</xdr:row>
                    <xdr:rowOff>45720</xdr:rowOff>
                  </from>
                  <to>
                    <xdr:col>4</xdr:col>
                    <xdr:colOff>1318260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19" name="Group Box 28">
              <controlPr defaultSize="0" autoFill="0" autoPict="0">
                <anchor moveWithCells="1">
                  <from>
                    <xdr:col>4</xdr:col>
                    <xdr:colOff>114300</xdr:colOff>
                    <xdr:row>12</xdr:row>
                    <xdr:rowOff>60960</xdr:rowOff>
                  </from>
                  <to>
                    <xdr:col>4</xdr:col>
                    <xdr:colOff>1318260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20" name="Group Box 29">
              <controlPr defaultSize="0" autoFill="0" autoPict="0">
                <anchor moveWithCells="1">
                  <from>
                    <xdr:col>4</xdr:col>
                    <xdr:colOff>114300</xdr:colOff>
                    <xdr:row>13</xdr:row>
                    <xdr:rowOff>68580</xdr:rowOff>
                  </from>
                  <to>
                    <xdr:col>4</xdr:col>
                    <xdr:colOff>1318260</xdr:colOff>
                    <xdr:row>13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21" name="Group Box 30">
              <controlPr defaultSize="0" autoFill="0" autoPict="0">
                <anchor moveWithCells="1">
                  <from>
                    <xdr:col>4</xdr:col>
                    <xdr:colOff>114300</xdr:colOff>
                    <xdr:row>14</xdr:row>
                    <xdr:rowOff>76200</xdr:rowOff>
                  </from>
                  <to>
                    <xdr:col>4</xdr:col>
                    <xdr:colOff>1318260</xdr:colOff>
                    <xdr:row>14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22" name="B_12">
              <controlPr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137160</xdr:rowOff>
                  </from>
                  <to>
                    <xdr:col>4</xdr:col>
                    <xdr:colOff>708660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23" name="B_13">
              <controlPr defaultSize="0" autoFill="0" autoLine="0" autoPict="0">
                <anchor moveWithCells="1">
                  <from>
                    <xdr:col>4</xdr:col>
                    <xdr:colOff>830580</xdr:colOff>
                    <xdr:row>9</xdr:row>
                    <xdr:rowOff>137160</xdr:rowOff>
                  </from>
                  <to>
                    <xdr:col>4</xdr:col>
                    <xdr:colOff>1203960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24" name="B_14">
              <controlPr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114300</xdr:rowOff>
                  </from>
                  <to>
                    <xdr:col>4</xdr:col>
                    <xdr:colOff>678180</xdr:colOff>
                    <xdr:row>10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25" name="B_15">
              <controlPr defaultSize="0" autoFill="0" autoLine="0" autoPict="0">
                <anchor moveWithCells="1">
                  <from>
                    <xdr:col>4</xdr:col>
                    <xdr:colOff>838200</xdr:colOff>
                    <xdr:row>10</xdr:row>
                    <xdr:rowOff>114300</xdr:rowOff>
                  </from>
                  <to>
                    <xdr:col>4</xdr:col>
                    <xdr:colOff>1203960</xdr:colOff>
                    <xdr:row>10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26" name="B_16">
              <controlPr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106680</xdr:rowOff>
                  </from>
                  <to>
                    <xdr:col>4</xdr:col>
                    <xdr:colOff>609600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27" name="B_17">
              <controlPr defaultSize="0" autoFill="0" autoLine="0" autoPict="0">
                <anchor moveWithCells="1">
                  <from>
                    <xdr:col>4</xdr:col>
                    <xdr:colOff>845820</xdr:colOff>
                    <xdr:row>11</xdr:row>
                    <xdr:rowOff>114300</xdr:rowOff>
                  </from>
                  <to>
                    <xdr:col>4</xdr:col>
                    <xdr:colOff>1089660</xdr:colOff>
                    <xdr:row>11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28" name="B_18">
              <controlPr defaultSize="0" autoFill="0" autoLine="0" autoPict="0">
                <anchor moveWithCells="1">
                  <from>
                    <xdr:col>4</xdr:col>
                    <xdr:colOff>373380</xdr:colOff>
                    <xdr:row>12</xdr:row>
                    <xdr:rowOff>137160</xdr:rowOff>
                  </from>
                  <to>
                    <xdr:col>4</xdr:col>
                    <xdr:colOff>655320</xdr:colOff>
                    <xdr:row>12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29" name="B_19">
              <controlPr defaultSize="0" autoFill="0" autoLine="0" autoPict="0">
                <anchor moveWithCells="1">
                  <from>
                    <xdr:col>4</xdr:col>
                    <xdr:colOff>845820</xdr:colOff>
                    <xdr:row>12</xdr:row>
                    <xdr:rowOff>137160</xdr:rowOff>
                  </from>
                  <to>
                    <xdr:col>4</xdr:col>
                    <xdr:colOff>1112520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30" name="B_20">
              <controlPr defaultSize="0" autoFill="0" autoLine="0" autoPict="0">
                <anchor moveWithCells="1">
                  <from>
                    <xdr:col>4</xdr:col>
                    <xdr:colOff>381000</xdr:colOff>
                    <xdr:row>13</xdr:row>
                    <xdr:rowOff>121920</xdr:rowOff>
                  </from>
                  <to>
                    <xdr:col>4</xdr:col>
                    <xdr:colOff>655320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31" name="B_21">
              <controlPr defaultSize="0" autoFill="0" autoLine="0" autoPict="0">
                <anchor moveWithCells="1">
                  <from>
                    <xdr:col>4</xdr:col>
                    <xdr:colOff>861060</xdr:colOff>
                    <xdr:row>13</xdr:row>
                    <xdr:rowOff>121920</xdr:rowOff>
                  </from>
                  <to>
                    <xdr:col>4</xdr:col>
                    <xdr:colOff>1173480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32" name="B_22">
              <controlPr defaultSize="0" autoFill="0" autoLine="0" autoPict="0">
                <anchor moveWithCells="1">
                  <from>
                    <xdr:col>4</xdr:col>
                    <xdr:colOff>381000</xdr:colOff>
                    <xdr:row>14</xdr:row>
                    <xdr:rowOff>137160</xdr:rowOff>
                  </from>
                  <to>
                    <xdr:col>4</xdr:col>
                    <xdr:colOff>678180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33" name="B_23">
              <controlPr defaultSize="0" autoFill="0" autoLine="0" autoPict="0">
                <anchor moveWithCells="1">
                  <from>
                    <xdr:col>4</xdr:col>
                    <xdr:colOff>861060</xdr:colOff>
                    <xdr:row>14</xdr:row>
                    <xdr:rowOff>137160</xdr:rowOff>
                  </from>
                  <to>
                    <xdr:col>4</xdr:col>
                    <xdr:colOff>1211580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34" name="Group Box 43">
              <controlPr defaultSize="0" autoFill="0" autoPict="0">
                <anchor moveWithCells="1">
                  <from>
                    <xdr:col>4</xdr:col>
                    <xdr:colOff>114300</xdr:colOff>
                    <xdr:row>15</xdr:row>
                    <xdr:rowOff>60960</xdr:rowOff>
                  </from>
                  <to>
                    <xdr:col>4</xdr:col>
                    <xdr:colOff>1318260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35" name="B_24">
              <controlPr defaultSize="0" autoFill="0" autoLine="0" autoPict="0">
                <anchor moveWithCells="1">
                  <from>
                    <xdr:col>4</xdr:col>
                    <xdr:colOff>381000</xdr:colOff>
                    <xdr:row>15</xdr:row>
                    <xdr:rowOff>106680</xdr:rowOff>
                  </from>
                  <to>
                    <xdr:col>4</xdr:col>
                    <xdr:colOff>678180</xdr:colOff>
                    <xdr:row>15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36" name="B_25">
              <controlPr defaultSize="0" autoFill="0" autoLine="0" autoPict="0">
                <anchor moveWithCells="1">
                  <from>
                    <xdr:col>4</xdr:col>
                    <xdr:colOff>861060</xdr:colOff>
                    <xdr:row>15</xdr:row>
                    <xdr:rowOff>106680</xdr:rowOff>
                  </from>
                  <to>
                    <xdr:col>4</xdr:col>
                    <xdr:colOff>1211580</xdr:colOff>
                    <xdr:row>15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37" name="B_5">
              <controlPr defaultSize="0" autoFill="0" autoLine="0" autoPict="0">
                <anchor moveWithCells="1">
                  <from>
                    <xdr:col>3</xdr:col>
                    <xdr:colOff>114300</xdr:colOff>
                    <xdr:row>4</xdr:row>
                    <xdr:rowOff>175260</xdr:rowOff>
                  </from>
                  <to>
                    <xdr:col>4</xdr:col>
                    <xdr:colOff>784860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38" name="B_6">
              <controlPr defaultSize="0" autoFill="0" autoLine="0" autoPict="0">
                <anchor moveWithCells="1">
                  <from>
                    <xdr:col>3</xdr:col>
                    <xdr:colOff>114300</xdr:colOff>
                    <xdr:row>4</xdr:row>
                    <xdr:rowOff>365760</xdr:rowOff>
                  </from>
                  <to>
                    <xdr:col>4</xdr:col>
                    <xdr:colOff>861060</xdr:colOff>
                    <xdr:row>4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39" name="B_7">
              <controlPr defaultSize="0" autoFill="0" autoLine="0" autoPict="0">
                <anchor moveWithCells="1">
                  <from>
                    <xdr:col>3</xdr:col>
                    <xdr:colOff>114300</xdr:colOff>
                    <xdr:row>4</xdr:row>
                    <xdr:rowOff>563880</xdr:rowOff>
                  </from>
                  <to>
                    <xdr:col>4</xdr:col>
                    <xdr:colOff>876300</xdr:colOff>
                    <xdr:row>4</xdr:row>
                    <xdr:rowOff>784860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40" name="B_26">
              <controlPr defaultSize="0" autoFill="0" autoLine="0" autoPict="0">
                <anchor moveWithCells="1">
                  <from>
                    <xdr:col>4</xdr:col>
                    <xdr:colOff>723900</xdr:colOff>
                    <xdr:row>4</xdr:row>
                    <xdr:rowOff>175260</xdr:rowOff>
                  </from>
                  <to>
                    <xdr:col>4</xdr:col>
                    <xdr:colOff>1127760</xdr:colOff>
                    <xdr:row>4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1:XFC35"/>
  <sheetViews>
    <sheetView showGridLines="0" showRowColHeaders="0" zoomScaleNormal="100" workbookViewId="0">
      <selection activeCell="B3" sqref="B3:K3"/>
    </sheetView>
  </sheetViews>
  <sheetFormatPr defaultColWidth="0" defaultRowHeight="14.4" zeroHeight="1" x14ac:dyDescent="0.3"/>
  <cols>
    <col min="1" max="1" width="20.6640625" customWidth="1"/>
    <col min="2" max="2" width="10.6640625" customWidth="1"/>
    <col min="3" max="4" width="11.5546875" customWidth="1"/>
    <col min="5" max="6" width="12" customWidth="1"/>
    <col min="7" max="7" width="13.109375" customWidth="1"/>
    <col min="8" max="8" width="11.88671875" customWidth="1"/>
    <col min="9" max="9" width="12.33203125" customWidth="1"/>
    <col min="10" max="10" width="10.44140625" customWidth="1"/>
    <col min="11" max="11" width="12.6640625" customWidth="1"/>
    <col min="12" max="12" width="12.6640625" style="4" customWidth="1"/>
    <col min="13" max="13" width="10.6640625" style="23" hidden="1" customWidth="1"/>
    <col min="14" max="14" width="11.5546875" style="13" hidden="1" customWidth="1"/>
    <col min="15" max="20" width="11.5546875" style="13" hidden="1"/>
    <col min="21" max="21" width="7.6640625" style="13" hidden="1"/>
    <col min="22" max="16383" width="11.5546875" style="13" hidden="1"/>
    <col min="16384" max="16384" width="4" style="13" hidden="1" customWidth="1"/>
  </cols>
  <sheetData>
    <row r="1" spans="1:2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</row>
    <row r="2" spans="1:2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</row>
    <row r="3" spans="1:21" ht="15" customHeight="1" x14ac:dyDescent="0.3">
      <c r="A3" s="4"/>
      <c r="B3" s="203" t="s">
        <v>393</v>
      </c>
      <c r="C3" s="204"/>
      <c r="D3" s="204"/>
      <c r="E3" s="204"/>
      <c r="F3" s="204"/>
      <c r="G3" s="204"/>
      <c r="H3" s="204"/>
      <c r="I3" s="204"/>
      <c r="J3" s="204"/>
      <c r="K3" s="205"/>
      <c r="L3" s="142"/>
      <c r="T3" s="28" t="s">
        <v>56</v>
      </c>
      <c r="U3" s="13" t="b">
        <f>'5. Agente'!H28</f>
        <v>0</v>
      </c>
    </row>
    <row r="4" spans="1:21" ht="24" customHeight="1" x14ac:dyDescent="0.3">
      <c r="A4" s="4"/>
      <c r="B4" s="89">
        <v>4</v>
      </c>
      <c r="C4" s="196" t="s">
        <v>381</v>
      </c>
      <c r="D4" s="197"/>
      <c r="E4" s="197"/>
      <c r="F4" s="197"/>
      <c r="G4" s="198"/>
      <c r="H4" s="191" t="s">
        <v>380</v>
      </c>
      <c r="I4" s="191"/>
      <c r="J4" s="191"/>
      <c r="K4" s="191"/>
      <c r="L4" s="120"/>
      <c r="T4" s="28" t="s">
        <v>129</v>
      </c>
      <c r="U4" s="13">
        <v>1</v>
      </c>
    </row>
    <row r="5" spans="1:21" ht="45" customHeight="1" x14ac:dyDescent="0.3">
      <c r="A5" s="4"/>
      <c r="B5" s="193">
        <v>4.0999999999999996</v>
      </c>
      <c r="C5" s="89" t="s">
        <v>374</v>
      </c>
      <c r="D5" s="99" t="s">
        <v>376</v>
      </c>
      <c r="E5" s="99" t="s">
        <v>377</v>
      </c>
      <c r="F5" s="99" t="s">
        <v>378</v>
      </c>
      <c r="G5" s="99" t="s">
        <v>386</v>
      </c>
      <c r="H5" s="107" t="s">
        <v>434</v>
      </c>
      <c r="I5" s="99" t="s">
        <v>379</v>
      </c>
      <c r="J5" s="99" t="s">
        <v>426</v>
      </c>
      <c r="K5" s="99" t="s">
        <v>425</v>
      </c>
      <c r="L5" s="143"/>
      <c r="O5" s="14" t="s">
        <v>25</v>
      </c>
      <c r="P5" s="38" t="s">
        <v>115</v>
      </c>
      <c r="Q5" s="38" t="s">
        <v>116</v>
      </c>
      <c r="R5" s="38" t="s">
        <v>117</v>
      </c>
      <c r="S5" s="38" t="s">
        <v>118</v>
      </c>
      <c r="T5" s="27"/>
      <c r="U5" s="38" t="s">
        <v>76</v>
      </c>
    </row>
    <row r="6" spans="1:21" ht="35.4" customHeight="1" x14ac:dyDescent="0.3">
      <c r="A6" s="4"/>
      <c r="B6" s="194"/>
      <c r="C6" s="116" t="s">
        <v>370</v>
      </c>
      <c r="D6" s="95"/>
      <c r="E6" s="117"/>
      <c r="F6" s="117"/>
      <c r="G6" s="117"/>
      <c r="H6" s="95"/>
      <c r="I6" s="117"/>
      <c r="J6" s="117"/>
      <c r="K6" s="100"/>
      <c r="L6" s="120"/>
      <c r="O6" s="39" t="s">
        <v>19</v>
      </c>
      <c r="P6" s="27">
        <v>0</v>
      </c>
      <c r="Q6" s="27" t="b">
        <f>IF(P6=1,0,IF(P6=2,1,IF(P6=3,3,IF(P6=4,10))))</f>
        <v>0</v>
      </c>
      <c r="R6" s="27">
        <v>0</v>
      </c>
      <c r="S6" s="27" t="b">
        <f>IF(R6=1,0,IF(R6=2,1,IF(R6=3,3,IF(R6=4,10))))</f>
        <v>0</v>
      </c>
      <c r="T6" s="27" t="s">
        <v>119</v>
      </c>
      <c r="U6" s="27">
        <f>$U$4*Q6*S6*$U$3</f>
        <v>0</v>
      </c>
    </row>
    <row r="7" spans="1:21" ht="37.200000000000003" customHeight="1" x14ac:dyDescent="0.3">
      <c r="A7" s="4"/>
      <c r="B7" s="194"/>
      <c r="C7" s="116" t="s">
        <v>371</v>
      </c>
      <c r="D7" s="95"/>
      <c r="E7" s="117"/>
      <c r="F7" s="117"/>
      <c r="G7" s="117"/>
      <c r="H7" s="95"/>
      <c r="I7" s="117"/>
      <c r="J7" s="117"/>
      <c r="K7" s="100"/>
      <c r="L7" s="120"/>
      <c r="O7" s="39" t="s">
        <v>20</v>
      </c>
      <c r="P7" s="27">
        <v>0</v>
      </c>
      <c r="Q7" s="27" t="b">
        <f>IF(P7=1,0,IF(P7=2,1,IF(P7=3,3,IF(P7=4,10))))</f>
        <v>0</v>
      </c>
      <c r="R7" s="27">
        <v>0</v>
      </c>
      <c r="S7" s="27" t="b">
        <f>IF(R7=1,0,IF(R7=2,1,IF(R7=3,3,IF(R7=4,10))))</f>
        <v>0</v>
      </c>
      <c r="T7" s="27" t="s">
        <v>120</v>
      </c>
      <c r="U7" s="27">
        <f>$U$4*Q7*S7*$U$3</f>
        <v>0</v>
      </c>
    </row>
    <row r="8" spans="1:21" ht="39" customHeight="1" x14ac:dyDescent="0.3">
      <c r="A8" s="4"/>
      <c r="B8" s="194"/>
      <c r="C8" s="116" t="s">
        <v>372</v>
      </c>
      <c r="D8" s="95"/>
      <c r="E8" s="117"/>
      <c r="F8" s="117"/>
      <c r="G8" s="117"/>
      <c r="H8" s="95"/>
      <c r="I8" s="117"/>
      <c r="J8" s="117"/>
      <c r="K8" s="100"/>
      <c r="L8" s="120"/>
      <c r="O8" s="39" t="s">
        <v>21</v>
      </c>
      <c r="P8" s="27">
        <v>0</v>
      </c>
      <c r="Q8" s="27" t="b">
        <f>IF(P8=1,0,IF(P8=2,1,IF(P8=3,3,IF(P8=4,10))))</f>
        <v>0</v>
      </c>
      <c r="R8" s="27">
        <v>0</v>
      </c>
      <c r="S8" s="27" t="b">
        <f>IF(R8=1,0,IF(R8=2,1,IF(R8=3,3,IF(R8=4,10))))</f>
        <v>0</v>
      </c>
      <c r="T8" s="27" t="s">
        <v>121</v>
      </c>
      <c r="U8" s="27">
        <f>$U$4*Q8*S8*$U$3</f>
        <v>0</v>
      </c>
    </row>
    <row r="9" spans="1:21" ht="38.4" customHeight="1" x14ac:dyDescent="0.3">
      <c r="A9" s="4"/>
      <c r="B9" s="194"/>
      <c r="C9" s="116" t="s">
        <v>373</v>
      </c>
      <c r="D9" s="95"/>
      <c r="E9" s="117"/>
      <c r="F9" s="117"/>
      <c r="G9" s="117"/>
      <c r="H9" s="95"/>
      <c r="I9" s="117"/>
      <c r="J9" s="117"/>
      <c r="K9" s="100"/>
      <c r="L9" s="120"/>
      <c r="O9" s="39" t="s">
        <v>22</v>
      </c>
      <c r="P9" s="27">
        <v>0</v>
      </c>
      <c r="Q9" s="27" t="b">
        <f>IF(P9=1,0,IF(P9=2,1,IF(P9=3,3,IF(P9=4,10))))</f>
        <v>0</v>
      </c>
      <c r="R9" s="27">
        <v>0</v>
      </c>
      <c r="S9" s="27" t="b">
        <f>IF(R9=1,0,IF(R9=2,1,IF(R9=3,3,IF(R9=4,10))))</f>
        <v>0</v>
      </c>
      <c r="T9" s="27" t="s">
        <v>122</v>
      </c>
      <c r="U9" s="27">
        <f>$U$4*Q9*S9*$U$3</f>
        <v>0</v>
      </c>
    </row>
    <row r="10" spans="1:21" ht="43.95" customHeight="1" x14ac:dyDescent="0.3">
      <c r="A10" s="4"/>
      <c r="B10" s="195"/>
      <c r="C10" s="116" t="s">
        <v>375</v>
      </c>
      <c r="D10" s="116"/>
      <c r="E10" s="118"/>
      <c r="F10" s="118"/>
      <c r="G10" s="118"/>
      <c r="H10" s="116"/>
      <c r="I10" s="118"/>
      <c r="J10" s="118"/>
      <c r="K10" s="101"/>
      <c r="L10" s="120"/>
      <c r="O10" s="39" t="s">
        <v>23</v>
      </c>
      <c r="P10" s="27">
        <v>0</v>
      </c>
      <c r="Q10" s="27" t="b">
        <f>IF(P10=1,0,IF(P10=2,1,IF(P10=3,3,IF(P10=4,10))))</f>
        <v>0</v>
      </c>
      <c r="R10" s="27">
        <v>0</v>
      </c>
      <c r="S10" s="27" t="b">
        <f>IF(R10=1,0,IF(R10=2,1,IF(R10=3,3,IF(R10=4,10))))</f>
        <v>0</v>
      </c>
      <c r="T10" s="27" t="s">
        <v>123</v>
      </c>
      <c r="U10" s="27">
        <f>$U$4*Q10*S10*$U$3</f>
        <v>0</v>
      </c>
    </row>
    <row r="11" spans="1:21" ht="24" customHeight="1" x14ac:dyDescent="0.3">
      <c r="A11" s="4"/>
      <c r="B11" s="151">
        <v>5</v>
      </c>
      <c r="C11" s="196" t="s">
        <v>382</v>
      </c>
      <c r="D11" s="197"/>
      <c r="E11" s="197"/>
      <c r="F11" s="197"/>
      <c r="G11" s="198"/>
      <c r="H11" s="191" t="s">
        <v>380</v>
      </c>
      <c r="I11" s="191"/>
      <c r="J11" s="191"/>
      <c r="K11" s="191"/>
      <c r="L11" s="144"/>
      <c r="M11" s="145"/>
    </row>
    <row r="12" spans="1:21" ht="44.4" customHeight="1" x14ac:dyDescent="0.3">
      <c r="A12" s="4"/>
      <c r="B12" s="193">
        <v>5.0999999999999996</v>
      </c>
      <c r="C12" s="89" t="s">
        <v>374</v>
      </c>
      <c r="D12" s="99" t="s">
        <v>383</v>
      </c>
      <c r="E12" s="99" t="s">
        <v>384</v>
      </c>
      <c r="F12" s="99" t="s">
        <v>378</v>
      </c>
      <c r="G12" s="99" t="s">
        <v>385</v>
      </c>
      <c r="H12" s="99" t="s">
        <v>435</v>
      </c>
      <c r="I12" s="99" t="s">
        <v>427</v>
      </c>
      <c r="J12" s="99" t="s">
        <v>426</v>
      </c>
      <c r="K12" s="99" t="s">
        <v>437</v>
      </c>
      <c r="L12" s="143"/>
      <c r="O12" s="28" t="s">
        <v>25</v>
      </c>
      <c r="P12" s="38" t="s">
        <v>26</v>
      </c>
      <c r="Q12" s="38" t="s">
        <v>116</v>
      </c>
      <c r="R12" s="38" t="s">
        <v>27</v>
      </c>
      <c r="S12" s="38" t="s">
        <v>118</v>
      </c>
      <c r="U12" s="38" t="s">
        <v>76</v>
      </c>
    </row>
    <row r="13" spans="1:21" ht="35.4" customHeight="1" x14ac:dyDescent="0.3">
      <c r="A13" s="4"/>
      <c r="B13" s="194"/>
      <c r="C13" s="116" t="s">
        <v>370</v>
      </c>
      <c r="D13" s="95"/>
      <c r="E13" s="201"/>
      <c r="F13" s="201"/>
      <c r="G13" s="100"/>
      <c r="H13" s="117"/>
      <c r="I13" s="117"/>
      <c r="J13" s="117"/>
      <c r="K13" s="100"/>
      <c r="L13" s="120"/>
      <c r="O13" s="16" t="s">
        <v>19</v>
      </c>
      <c r="P13" s="27">
        <v>0</v>
      </c>
      <c r="Q13" s="27" t="b">
        <f>IF(P13=1,0,IF(P13=2,1,IF(P13=3,3,IF(P13=4,10))))</f>
        <v>0</v>
      </c>
      <c r="R13" s="27">
        <v>0</v>
      </c>
      <c r="S13" s="27" t="b">
        <f>IF(R13=1,0,IF(R13=2,1,IF(R13=3,3,IF(R13=4,10))))</f>
        <v>0</v>
      </c>
      <c r="T13" s="13" t="s">
        <v>124</v>
      </c>
      <c r="U13" s="27">
        <f>$U$4*Q13*S13*$U$3</f>
        <v>0</v>
      </c>
    </row>
    <row r="14" spans="1:21" ht="35.4" customHeight="1" x14ac:dyDescent="0.3">
      <c r="A14" s="4"/>
      <c r="B14" s="194"/>
      <c r="C14" s="116" t="s">
        <v>371</v>
      </c>
      <c r="D14" s="95"/>
      <c r="E14" s="201"/>
      <c r="F14" s="201"/>
      <c r="G14" s="100"/>
      <c r="H14" s="117"/>
      <c r="I14" s="117"/>
      <c r="J14" s="117"/>
      <c r="K14" s="100"/>
      <c r="L14" s="120"/>
      <c r="O14" s="16" t="s">
        <v>20</v>
      </c>
      <c r="P14" s="27">
        <v>0</v>
      </c>
      <c r="Q14" s="27" t="b">
        <f>IF(P14=1,0,IF(P14=2,1,IF(P14=3,3,IF(P14=4,10))))</f>
        <v>0</v>
      </c>
      <c r="R14" s="27">
        <v>0</v>
      </c>
      <c r="S14" s="27" t="b">
        <f>IF(R14=1,0,IF(R14=2,1,IF(R14=3,3,IF(R14=4,10))))</f>
        <v>0</v>
      </c>
      <c r="T14" s="13" t="s">
        <v>125</v>
      </c>
      <c r="U14" s="27">
        <f>$U$4*Q14*S14*$U$3</f>
        <v>0</v>
      </c>
    </row>
    <row r="15" spans="1:21" ht="35.4" customHeight="1" x14ac:dyDescent="0.3">
      <c r="A15" s="4"/>
      <c r="B15" s="194"/>
      <c r="C15" s="116" t="s">
        <v>372</v>
      </c>
      <c r="D15" s="95"/>
      <c r="E15" s="201"/>
      <c r="F15" s="201"/>
      <c r="G15" s="100"/>
      <c r="H15" s="117"/>
      <c r="I15" s="117"/>
      <c r="J15" s="117"/>
      <c r="K15" s="100"/>
      <c r="L15" s="120"/>
      <c r="O15" s="16" t="s">
        <v>21</v>
      </c>
      <c r="P15" s="27">
        <v>0</v>
      </c>
      <c r="Q15" s="27" t="b">
        <f>IF(P15=1,0,IF(P15=2,1,IF(P15=3,3,IF(P15=4,10))))</f>
        <v>0</v>
      </c>
      <c r="R15" s="27">
        <v>0</v>
      </c>
      <c r="S15" s="27" t="b">
        <f>IF(R15=1,0,IF(R15=2,1,IF(R15=3,3,IF(R15=4,10))))</f>
        <v>0</v>
      </c>
      <c r="T15" s="13" t="s">
        <v>126</v>
      </c>
      <c r="U15" s="27">
        <f>$U$4*Q15*S15*$U$3</f>
        <v>0</v>
      </c>
    </row>
    <row r="16" spans="1:21" ht="35.4" customHeight="1" x14ac:dyDescent="0.3">
      <c r="A16" s="4"/>
      <c r="B16" s="194"/>
      <c r="C16" s="116" t="s">
        <v>373</v>
      </c>
      <c r="D16" s="95"/>
      <c r="E16" s="201"/>
      <c r="F16" s="201"/>
      <c r="G16" s="100"/>
      <c r="H16" s="117"/>
      <c r="I16" s="117"/>
      <c r="J16" s="117"/>
      <c r="K16" s="100"/>
      <c r="L16" s="120"/>
      <c r="O16" s="16" t="s">
        <v>22</v>
      </c>
      <c r="P16" s="27">
        <v>0</v>
      </c>
      <c r="Q16" s="27" t="b">
        <f>IF(P16=1,0,IF(P16=2,1,IF(P16=3,3,IF(P16=4,10))))</f>
        <v>0</v>
      </c>
      <c r="R16" s="27">
        <v>0</v>
      </c>
      <c r="S16" s="27" t="b">
        <f>IF(R16=1,0,IF(R16=2,1,IF(R16=3,3,IF(R16=4,10))))</f>
        <v>0</v>
      </c>
      <c r="T16" s="13" t="s">
        <v>127</v>
      </c>
      <c r="U16" s="27">
        <f>$U$4*Q16*S16*$U$3</f>
        <v>0</v>
      </c>
    </row>
    <row r="17" spans="1:21" ht="35.4" customHeight="1" x14ac:dyDescent="0.3">
      <c r="A17" s="4"/>
      <c r="B17" s="195"/>
      <c r="C17" s="116" t="s">
        <v>375</v>
      </c>
      <c r="D17" s="116"/>
      <c r="E17" s="202"/>
      <c r="F17" s="202"/>
      <c r="G17" s="101"/>
      <c r="H17" s="118"/>
      <c r="I17" s="118"/>
      <c r="J17" s="118"/>
      <c r="K17" s="101"/>
      <c r="L17" s="120"/>
      <c r="O17" s="16" t="s">
        <v>23</v>
      </c>
      <c r="P17" s="27">
        <v>0</v>
      </c>
      <c r="Q17" s="27" t="b">
        <f>IF(P17=1,0,IF(P17=2,1,IF(P17=3,3,IF(P17=4,10))))</f>
        <v>0</v>
      </c>
      <c r="R17" s="27">
        <v>0</v>
      </c>
      <c r="S17" s="27" t="b">
        <f>IF(R17=1,0,IF(R17=2,1,IF(R17=3,3,IF(R17=4,10))))</f>
        <v>0</v>
      </c>
      <c r="T17" s="13" t="s">
        <v>128</v>
      </c>
      <c r="U17" s="27">
        <f>$U$4*Q17*S17*$U$3</f>
        <v>0</v>
      </c>
    </row>
    <row r="18" spans="1:21" ht="14.4" customHeight="1" x14ac:dyDescent="0.3">
      <c r="A18" s="4"/>
      <c r="B18" s="166">
        <v>5.2</v>
      </c>
      <c r="C18" s="192" t="s">
        <v>392</v>
      </c>
      <c r="D18" s="192"/>
      <c r="E18" s="192"/>
      <c r="F18" s="166" t="s">
        <v>387</v>
      </c>
      <c r="G18" s="166"/>
      <c r="H18" s="166" t="s">
        <v>388</v>
      </c>
      <c r="I18" s="166"/>
      <c r="J18" s="166"/>
      <c r="K18" s="166"/>
      <c r="L18" s="121"/>
    </row>
    <row r="19" spans="1:21" ht="15" customHeight="1" x14ac:dyDescent="0.3">
      <c r="A19" s="4"/>
      <c r="B19" s="166"/>
      <c r="C19" s="192"/>
      <c r="D19" s="192"/>
      <c r="E19" s="192"/>
      <c r="F19" s="166"/>
      <c r="G19" s="166"/>
      <c r="H19" s="193" t="s">
        <v>436</v>
      </c>
      <c r="I19" s="193"/>
      <c r="J19" s="193" t="s">
        <v>389</v>
      </c>
      <c r="K19" s="193"/>
      <c r="L19" s="121"/>
      <c r="O19" s="38" t="s">
        <v>28</v>
      </c>
      <c r="P19" s="14" t="s">
        <v>4</v>
      </c>
      <c r="Q19" s="14" t="s">
        <v>5</v>
      </c>
      <c r="S19" s="38" t="s">
        <v>76</v>
      </c>
    </row>
    <row r="20" spans="1:21" ht="30.6" customHeight="1" x14ac:dyDescent="0.3">
      <c r="A20" s="4"/>
      <c r="B20" s="166"/>
      <c r="C20" s="192"/>
      <c r="D20" s="192"/>
      <c r="E20" s="192"/>
      <c r="F20" s="192" t="s">
        <v>66</v>
      </c>
      <c r="G20" s="196"/>
      <c r="H20" s="178"/>
      <c r="I20" s="199"/>
      <c r="J20" s="199"/>
      <c r="K20" s="200"/>
      <c r="L20" s="121"/>
      <c r="O20" s="16" t="s">
        <v>9</v>
      </c>
      <c r="P20" s="16">
        <v>0</v>
      </c>
      <c r="Q20" s="40">
        <f t="shared" ref="Q20:Q27" si="0">IF(P20=1,0,1)</f>
        <v>1</v>
      </c>
      <c r="R20" s="14" t="s">
        <v>78</v>
      </c>
      <c r="S20" s="27" t="e">
        <f>#REF!*Q20</f>
        <v>#REF!</v>
      </c>
    </row>
    <row r="21" spans="1:21" ht="30.6" customHeight="1" x14ac:dyDescent="0.3">
      <c r="A21" s="4"/>
      <c r="B21" s="166"/>
      <c r="C21" s="192"/>
      <c r="D21" s="192"/>
      <c r="E21" s="192"/>
      <c r="F21" s="192" t="s">
        <v>354</v>
      </c>
      <c r="G21" s="196"/>
      <c r="H21" s="178"/>
      <c r="I21" s="199"/>
      <c r="J21" s="199"/>
      <c r="K21" s="200"/>
      <c r="L21" s="121"/>
      <c r="O21" s="16" t="s">
        <v>10</v>
      </c>
      <c r="P21" s="16">
        <v>0</v>
      </c>
      <c r="Q21" s="40">
        <f t="shared" si="0"/>
        <v>1</v>
      </c>
      <c r="R21" s="14" t="s">
        <v>84</v>
      </c>
      <c r="S21" s="27" t="e">
        <f>#REF!*Q21</f>
        <v>#REF!</v>
      </c>
    </row>
    <row r="22" spans="1:21" ht="30.6" customHeight="1" x14ac:dyDescent="0.3">
      <c r="A22" s="4"/>
      <c r="B22" s="166"/>
      <c r="C22" s="192"/>
      <c r="D22" s="192"/>
      <c r="E22" s="192"/>
      <c r="F22" s="192" t="s">
        <v>355</v>
      </c>
      <c r="G22" s="196"/>
      <c r="H22" s="102"/>
      <c r="I22" s="118"/>
      <c r="J22" s="118"/>
      <c r="K22" s="101"/>
      <c r="L22" s="120"/>
      <c r="O22" s="16" t="s">
        <v>11</v>
      </c>
      <c r="P22" s="16">
        <v>0</v>
      </c>
      <c r="Q22" s="40">
        <f t="shared" si="0"/>
        <v>1</v>
      </c>
      <c r="R22" s="14" t="s">
        <v>85</v>
      </c>
      <c r="S22" s="27" t="e">
        <f>#REF!*Q22</f>
        <v>#REF!</v>
      </c>
    </row>
    <row r="23" spans="1:21" ht="33.6" customHeight="1" x14ac:dyDescent="0.3">
      <c r="A23" s="4"/>
      <c r="B23" s="166"/>
      <c r="C23" s="192"/>
      <c r="D23" s="192"/>
      <c r="E23" s="192"/>
      <c r="F23" s="192" t="s">
        <v>361</v>
      </c>
      <c r="G23" s="196"/>
      <c r="H23" s="103"/>
      <c r="I23" s="97"/>
      <c r="J23" s="97"/>
      <c r="K23" s="104"/>
      <c r="L23" s="120"/>
      <c r="O23" s="16" t="s">
        <v>12</v>
      </c>
      <c r="P23" s="16">
        <v>0</v>
      </c>
      <c r="Q23" s="40">
        <f t="shared" si="0"/>
        <v>1</v>
      </c>
      <c r="R23" s="14" t="s">
        <v>83</v>
      </c>
      <c r="S23" s="27" t="e">
        <f>#REF!*Q23</f>
        <v>#REF!</v>
      </c>
    </row>
    <row r="24" spans="1:21" ht="30.6" customHeight="1" x14ac:dyDescent="0.3">
      <c r="A24" s="4"/>
      <c r="B24" s="166"/>
      <c r="C24" s="192"/>
      <c r="D24" s="192"/>
      <c r="E24" s="192"/>
      <c r="F24" s="192" t="s">
        <v>357</v>
      </c>
      <c r="G24" s="196"/>
      <c r="H24" s="102"/>
      <c r="I24" s="118"/>
      <c r="J24" s="118"/>
      <c r="K24" s="101"/>
      <c r="L24" s="120"/>
      <c r="O24" s="16" t="s">
        <v>13</v>
      </c>
      <c r="P24" s="16">
        <v>0</v>
      </c>
      <c r="Q24" s="40">
        <f t="shared" si="0"/>
        <v>1</v>
      </c>
      <c r="R24" s="14" t="s">
        <v>82</v>
      </c>
      <c r="S24" s="27" t="e">
        <f>#REF!*Q24</f>
        <v>#REF!</v>
      </c>
    </row>
    <row r="25" spans="1:21" ht="30.6" customHeight="1" x14ac:dyDescent="0.3">
      <c r="A25" s="4"/>
      <c r="B25" s="166"/>
      <c r="C25" s="192"/>
      <c r="D25" s="192"/>
      <c r="E25" s="192"/>
      <c r="F25" s="192" t="s">
        <v>390</v>
      </c>
      <c r="G25" s="196"/>
      <c r="H25" s="102"/>
      <c r="I25" s="118"/>
      <c r="J25" s="118"/>
      <c r="K25" s="101"/>
      <c r="L25" s="120"/>
      <c r="O25" s="16" t="s">
        <v>14</v>
      </c>
      <c r="P25" s="16">
        <v>0</v>
      </c>
      <c r="Q25" s="40">
        <f t="shared" si="0"/>
        <v>1</v>
      </c>
      <c r="R25" s="14" t="s">
        <v>81</v>
      </c>
      <c r="S25" s="27" t="e">
        <f>#REF!*Q25</f>
        <v>#REF!</v>
      </c>
    </row>
    <row r="26" spans="1:21" ht="40.950000000000003" customHeight="1" x14ac:dyDescent="0.3">
      <c r="A26" s="4"/>
      <c r="B26" s="166"/>
      <c r="C26" s="192"/>
      <c r="D26" s="192"/>
      <c r="E26" s="192"/>
      <c r="F26" s="192" t="s">
        <v>391</v>
      </c>
      <c r="G26" s="196"/>
      <c r="H26" s="102"/>
      <c r="I26" s="118"/>
      <c r="J26" s="118"/>
      <c r="K26" s="101"/>
      <c r="L26" s="120"/>
      <c r="O26" s="16" t="s">
        <v>15</v>
      </c>
      <c r="P26" s="16">
        <v>0</v>
      </c>
      <c r="Q26" s="40">
        <f t="shared" si="0"/>
        <v>1</v>
      </c>
      <c r="R26" s="14" t="s">
        <v>80</v>
      </c>
      <c r="S26" s="27" t="e">
        <f>#REF!*Q26</f>
        <v>#REF!</v>
      </c>
    </row>
    <row r="27" spans="1:21" ht="35.4" customHeight="1" thickBot="1" x14ac:dyDescent="0.35">
      <c r="A27" s="4"/>
      <c r="B27" s="166"/>
      <c r="C27" s="192"/>
      <c r="D27" s="192"/>
      <c r="E27" s="192"/>
      <c r="F27" s="192" t="s">
        <v>69</v>
      </c>
      <c r="G27" s="196"/>
      <c r="H27" s="105"/>
      <c r="I27" s="98"/>
      <c r="J27" s="98"/>
      <c r="K27" s="106"/>
      <c r="L27" s="120"/>
      <c r="O27" s="16" t="s">
        <v>16</v>
      </c>
      <c r="P27" s="16">
        <v>0</v>
      </c>
      <c r="Q27" s="40">
        <f t="shared" si="0"/>
        <v>1</v>
      </c>
      <c r="R27" s="14" t="s">
        <v>79</v>
      </c>
      <c r="S27" s="27" t="e">
        <f>#REF!*Q27</f>
        <v>#REF!</v>
      </c>
    </row>
    <row r="28" spans="1:21" ht="15" thickBot="1" x14ac:dyDescent="0.35">
      <c r="A28" s="4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146"/>
      <c r="N28" s="147"/>
      <c r="R28" s="14" t="s">
        <v>86</v>
      </c>
      <c r="S28" s="25" t="e">
        <f>SUM(S20:S27)+#REF!</f>
        <v>#REF!</v>
      </c>
    </row>
    <row r="29" spans="1:21" ht="21.75" customHeight="1" x14ac:dyDescent="0.3">
      <c r="A29" s="4"/>
      <c r="B29" s="5"/>
      <c r="C29" s="4"/>
      <c r="D29" s="4"/>
      <c r="E29" s="4"/>
      <c r="F29" s="4"/>
      <c r="G29" s="4"/>
      <c r="H29" s="4"/>
      <c r="I29" s="4"/>
      <c r="J29" s="4"/>
      <c r="K29" s="4"/>
    </row>
    <row r="32" spans="1:21" x14ac:dyDescent="0.3"/>
    <row r="33" x14ac:dyDescent="0.3"/>
    <row r="34" x14ac:dyDescent="0.3"/>
    <row r="35" x14ac:dyDescent="0.3"/>
  </sheetData>
  <sheetProtection algorithmName="SHA-512" hashValue="Ff55mm+J67+ClZhWQ8W6sS7V8zyS5Kgt+fUYYUjuDZBOn0L+49pL/lATwk1PBoZbDQqYvEhQhP3kmGraQ2aZDQ==" saltValue="j9chWnDZ8lvdA8VyaSMmrQ==" spinCount="100000" sheet="1" objects="1" scenarios="1" selectLockedCells="1" selectUnlockedCells="1"/>
  <mergeCells count="30">
    <mergeCell ref="B3:K3"/>
    <mergeCell ref="F24:G24"/>
    <mergeCell ref="F25:G25"/>
    <mergeCell ref="C18:E27"/>
    <mergeCell ref="B18:B27"/>
    <mergeCell ref="F26:G26"/>
    <mergeCell ref="F27:G27"/>
    <mergeCell ref="F20:G20"/>
    <mergeCell ref="F21:G21"/>
    <mergeCell ref="F22:G22"/>
    <mergeCell ref="F23:G23"/>
    <mergeCell ref="H18:K18"/>
    <mergeCell ref="H19:I19"/>
    <mergeCell ref="J19:K19"/>
    <mergeCell ref="F18:G19"/>
    <mergeCell ref="H20:I20"/>
    <mergeCell ref="H21:I21"/>
    <mergeCell ref="J21:K21"/>
    <mergeCell ref="H4:K4"/>
    <mergeCell ref="H11:K11"/>
    <mergeCell ref="E13:F13"/>
    <mergeCell ref="E14:F14"/>
    <mergeCell ref="E15:F15"/>
    <mergeCell ref="E16:F16"/>
    <mergeCell ref="E17:F17"/>
    <mergeCell ref="B5:B10"/>
    <mergeCell ref="C4:G4"/>
    <mergeCell ref="C11:G11"/>
    <mergeCell ref="B12:B17"/>
    <mergeCell ref="J20:K20"/>
  </mergeCell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_1">
              <controlPr defaultSize="0" autoFill="0" autoLine="0" autoPict="0">
                <anchor moveWithCells="1">
                  <from>
                    <xdr:col>3</xdr:col>
                    <xdr:colOff>304800</xdr:colOff>
                    <xdr:row>5</xdr:row>
                    <xdr:rowOff>175260</xdr:rowOff>
                  </from>
                  <to>
                    <xdr:col>3</xdr:col>
                    <xdr:colOff>632460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_2">
              <controlPr defaultSize="0" autoFill="0" autoLine="0" autoPict="0">
                <anchor moveWithCells="1">
                  <from>
                    <xdr:col>4</xdr:col>
                    <xdr:colOff>327660</xdr:colOff>
                    <xdr:row>5</xdr:row>
                    <xdr:rowOff>152400</xdr:rowOff>
                  </from>
                  <to>
                    <xdr:col>4</xdr:col>
                    <xdr:colOff>746760</xdr:colOff>
                    <xdr:row>5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_3">
              <controlPr defaultSize="0" autoFill="0" autoLine="0" autoPict="0">
                <anchor moveWithCells="1">
                  <from>
                    <xdr:col>5</xdr:col>
                    <xdr:colOff>312420</xdr:colOff>
                    <xdr:row>5</xdr:row>
                    <xdr:rowOff>144780</xdr:rowOff>
                  </from>
                  <to>
                    <xdr:col>5</xdr:col>
                    <xdr:colOff>655320</xdr:colOff>
                    <xdr:row>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Group Box 5">
              <controlPr defaultSize="0" autoFill="0" autoPict="0">
                <anchor moveWithCells="1">
                  <from>
                    <xdr:col>3</xdr:col>
                    <xdr:colOff>45720</xdr:colOff>
                    <xdr:row>5</xdr:row>
                    <xdr:rowOff>60960</xdr:rowOff>
                  </from>
                  <to>
                    <xdr:col>6</xdr:col>
                    <xdr:colOff>670560</xdr:colOff>
                    <xdr:row>5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B_4">
              <controlPr defaultSize="0" autoFill="0" autoLine="0" autoPict="0">
                <anchor moveWithCells="1">
                  <from>
                    <xdr:col>6</xdr:col>
                    <xdr:colOff>365760</xdr:colOff>
                    <xdr:row>5</xdr:row>
                    <xdr:rowOff>175260</xdr:rowOff>
                  </from>
                  <to>
                    <xdr:col>6</xdr:col>
                    <xdr:colOff>579120</xdr:colOff>
                    <xdr:row>5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B_9">
              <controlPr defaultSize="0" autoFill="0" autoLine="0" autoPict="0">
                <anchor moveWithCells="1">
                  <from>
                    <xdr:col>3</xdr:col>
                    <xdr:colOff>312420</xdr:colOff>
                    <xdr:row>6</xdr:row>
                    <xdr:rowOff>175260</xdr:rowOff>
                  </from>
                  <to>
                    <xdr:col>3</xdr:col>
                    <xdr:colOff>632460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B_10">
              <controlPr defaultSize="0" autoFill="0" autoLine="0" autoPict="0">
                <anchor moveWithCells="1">
                  <from>
                    <xdr:col>4</xdr:col>
                    <xdr:colOff>327660</xdr:colOff>
                    <xdr:row>6</xdr:row>
                    <xdr:rowOff>160020</xdr:rowOff>
                  </from>
                  <to>
                    <xdr:col>4</xdr:col>
                    <xdr:colOff>746760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B_11">
              <controlPr defaultSize="0" autoFill="0" autoLine="0" autoPict="0">
                <anchor moveWithCells="1">
                  <from>
                    <xdr:col>5</xdr:col>
                    <xdr:colOff>327660</xdr:colOff>
                    <xdr:row>6</xdr:row>
                    <xdr:rowOff>152400</xdr:rowOff>
                  </from>
                  <to>
                    <xdr:col>5</xdr:col>
                    <xdr:colOff>670560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Group Box 10">
              <controlPr defaultSize="0" autoFill="0" autoPict="0">
                <anchor moveWithCells="1">
                  <from>
                    <xdr:col>3</xdr:col>
                    <xdr:colOff>60960</xdr:colOff>
                    <xdr:row>6</xdr:row>
                    <xdr:rowOff>60960</xdr:rowOff>
                  </from>
                  <to>
                    <xdr:col>6</xdr:col>
                    <xdr:colOff>678180</xdr:colOff>
                    <xdr:row>6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B_12">
              <controlPr defaultSize="0" autoFill="0" autoLine="0" autoPict="0">
                <anchor moveWithCells="1">
                  <from>
                    <xdr:col>6</xdr:col>
                    <xdr:colOff>365760</xdr:colOff>
                    <xdr:row>6</xdr:row>
                    <xdr:rowOff>175260</xdr:rowOff>
                  </from>
                  <to>
                    <xdr:col>6</xdr:col>
                    <xdr:colOff>594360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B_17">
              <controlPr defaultSize="0" autoFill="0" autoLine="0" autoPict="0">
                <anchor moveWithCells="1">
                  <from>
                    <xdr:col>3</xdr:col>
                    <xdr:colOff>312420</xdr:colOff>
                    <xdr:row>7</xdr:row>
                    <xdr:rowOff>152400</xdr:rowOff>
                  </from>
                  <to>
                    <xdr:col>3</xdr:col>
                    <xdr:colOff>632460</xdr:colOff>
                    <xdr:row>7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B_18">
              <controlPr defaultSize="0" autoFill="0" autoLine="0" autoPict="0">
                <anchor moveWithCells="1">
                  <from>
                    <xdr:col>4</xdr:col>
                    <xdr:colOff>350520</xdr:colOff>
                    <xdr:row>7</xdr:row>
                    <xdr:rowOff>137160</xdr:rowOff>
                  </from>
                  <to>
                    <xdr:col>4</xdr:col>
                    <xdr:colOff>762000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B_19">
              <controlPr defaultSize="0" autoFill="0" autoLine="0" autoPict="0">
                <anchor moveWithCells="1">
                  <from>
                    <xdr:col>5</xdr:col>
                    <xdr:colOff>335280</xdr:colOff>
                    <xdr:row>7</xdr:row>
                    <xdr:rowOff>137160</xdr:rowOff>
                  </from>
                  <to>
                    <xdr:col>5</xdr:col>
                    <xdr:colOff>678180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Group Box 15">
              <controlPr defaultSize="0" autoFill="0" autoPict="0">
                <anchor moveWithCells="1">
                  <from>
                    <xdr:col>3</xdr:col>
                    <xdr:colOff>60960</xdr:colOff>
                    <xdr:row>7</xdr:row>
                    <xdr:rowOff>60960</xdr:rowOff>
                  </from>
                  <to>
                    <xdr:col>6</xdr:col>
                    <xdr:colOff>685800</xdr:colOff>
                    <xdr:row>7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B_20">
              <controlPr defaultSize="0" autoFill="0" autoLine="0" autoPict="0">
                <anchor moveWithCells="1">
                  <from>
                    <xdr:col>6</xdr:col>
                    <xdr:colOff>365760</xdr:colOff>
                    <xdr:row>7</xdr:row>
                    <xdr:rowOff>152400</xdr:rowOff>
                  </from>
                  <to>
                    <xdr:col>6</xdr:col>
                    <xdr:colOff>579120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B_25">
              <controlPr defaultSize="0" autoFill="0" autoLine="0" autoPict="0">
                <anchor moveWithCells="1">
                  <from>
                    <xdr:col>3</xdr:col>
                    <xdr:colOff>312420</xdr:colOff>
                    <xdr:row>8</xdr:row>
                    <xdr:rowOff>152400</xdr:rowOff>
                  </from>
                  <to>
                    <xdr:col>3</xdr:col>
                    <xdr:colOff>632460</xdr:colOff>
                    <xdr:row>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0" name="B_26">
              <controlPr defaultSize="0" autoFill="0" autoLine="0" autoPict="0">
                <anchor moveWithCells="1">
                  <from>
                    <xdr:col>4</xdr:col>
                    <xdr:colOff>350520</xdr:colOff>
                    <xdr:row>8</xdr:row>
                    <xdr:rowOff>137160</xdr:rowOff>
                  </from>
                  <to>
                    <xdr:col>4</xdr:col>
                    <xdr:colOff>769620</xdr:colOff>
                    <xdr:row>8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1" name="B_27">
              <controlPr defaultSize="0" autoFill="0" autoLine="0" autoPict="0">
                <anchor moveWithCells="1">
                  <from>
                    <xdr:col>5</xdr:col>
                    <xdr:colOff>335280</xdr:colOff>
                    <xdr:row>8</xdr:row>
                    <xdr:rowOff>137160</xdr:rowOff>
                  </from>
                  <to>
                    <xdr:col>5</xdr:col>
                    <xdr:colOff>678180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2" name="Group Box 20">
              <controlPr defaultSize="0" autoFill="0" autoPict="0">
                <anchor moveWithCells="1">
                  <from>
                    <xdr:col>3</xdr:col>
                    <xdr:colOff>60960</xdr:colOff>
                    <xdr:row>8</xdr:row>
                    <xdr:rowOff>60960</xdr:rowOff>
                  </from>
                  <to>
                    <xdr:col>6</xdr:col>
                    <xdr:colOff>678180</xdr:colOff>
                    <xdr:row>8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3" name="B_28">
              <controlPr defaultSize="0" autoFill="0" autoLine="0" autoPict="0">
                <anchor moveWithCells="1">
                  <from>
                    <xdr:col>6</xdr:col>
                    <xdr:colOff>365760</xdr:colOff>
                    <xdr:row>8</xdr:row>
                    <xdr:rowOff>152400</xdr:rowOff>
                  </from>
                  <to>
                    <xdr:col>6</xdr:col>
                    <xdr:colOff>579120</xdr:colOff>
                    <xdr:row>8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4" name="B_33">
              <controlPr defaultSize="0" autoFill="0" autoLine="0" autoPict="0">
                <anchor moveWithCells="1">
                  <from>
                    <xdr:col>3</xdr:col>
                    <xdr:colOff>312420</xdr:colOff>
                    <xdr:row>9</xdr:row>
                    <xdr:rowOff>175260</xdr:rowOff>
                  </from>
                  <to>
                    <xdr:col>3</xdr:col>
                    <xdr:colOff>632460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5" name="B_34">
              <controlPr defaultSize="0" autoFill="0" autoLine="0" autoPict="0">
                <anchor moveWithCells="1">
                  <from>
                    <xdr:col>4</xdr:col>
                    <xdr:colOff>327660</xdr:colOff>
                    <xdr:row>9</xdr:row>
                    <xdr:rowOff>160020</xdr:rowOff>
                  </from>
                  <to>
                    <xdr:col>4</xdr:col>
                    <xdr:colOff>746760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6" name="B_35">
              <controlPr defaultSize="0" autoFill="0" autoLine="0" autoPict="0">
                <anchor moveWithCells="1">
                  <from>
                    <xdr:col>5</xdr:col>
                    <xdr:colOff>327660</xdr:colOff>
                    <xdr:row>9</xdr:row>
                    <xdr:rowOff>152400</xdr:rowOff>
                  </from>
                  <to>
                    <xdr:col>5</xdr:col>
                    <xdr:colOff>670560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7" name="Group Box 30">
              <controlPr defaultSize="0" autoFill="0" autoPict="0">
                <anchor moveWithCells="1">
                  <from>
                    <xdr:col>3</xdr:col>
                    <xdr:colOff>60960</xdr:colOff>
                    <xdr:row>9</xdr:row>
                    <xdr:rowOff>83820</xdr:rowOff>
                  </from>
                  <to>
                    <xdr:col>6</xdr:col>
                    <xdr:colOff>678180</xdr:colOff>
                    <xdr:row>9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8" name="B_36">
              <controlPr defaultSize="0" autoFill="0" autoLine="0" autoPict="0">
                <anchor moveWithCells="1">
                  <from>
                    <xdr:col>6</xdr:col>
                    <xdr:colOff>365760</xdr:colOff>
                    <xdr:row>9</xdr:row>
                    <xdr:rowOff>175260</xdr:rowOff>
                  </from>
                  <to>
                    <xdr:col>6</xdr:col>
                    <xdr:colOff>594360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9" name="B_5">
              <controlPr defaultSize="0" autoFill="0" autoLine="0" autoPict="0">
                <anchor moveWithCells="1">
                  <from>
                    <xdr:col>7</xdr:col>
                    <xdr:colOff>342900</xdr:colOff>
                    <xdr:row>5</xdr:row>
                    <xdr:rowOff>175260</xdr:rowOff>
                  </from>
                  <to>
                    <xdr:col>7</xdr:col>
                    <xdr:colOff>670560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0" name="B_6">
              <controlPr defaultSize="0" autoFill="0" autoLine="0" autoPict="0">
                <anchor moveWithCells="1">
                  <from>
                    <xdr:col>8</xdr:col>
                    <xdr:colOff>342900</xdr:colOff>
                    <xdr:row>5</xdr:row>
                    <xdr:rowOff>152400</xdr:rowOff>
                  </from>
                  <to>
                    <xdr:col>8</xdr:col>
                    <xdr:colOff>762000</xdr:colOff>
                    <xdr:row>5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1" name="B_7">
              <controlPr defaultSize="0" autoFill="0" autoLine="0" autoPict="0">
                <anchor moveWithCells="1">
                  <from>
                    <xdr:col>9</xdr:col>
                    <xdr:colOff>297180</xdr:colOff>
                    <xdr:row>5</xdr:row>
                    <xdr:rowOff>144780</xdr:rowOff>
                  </from>
                  <to>
                    <xdr:col>9</xdr:col>
                    <xdr:colOff>640080</xdr:colOff>
                    <xdr:row>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2" name="Group Box 35">
              <controlPr defaultSize="0" autoFill="0" autoPict="0">
                <anchor moveWithCells="1">
                  <from>
                    <xdr:col>7</xdr:col>
                    <xdr:colOff>60960</xdr:colOff>
                    <xdr:row>5</xdr:row>
                    <xdr:rowOff>60960</xdr:rowOff>
                  </from>
                  <to>
                    <xdr:col>10</xdr:col>
                    <xdr:colOff>754380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3" name="B_8">
              <controlPr defaultSize="0" autoFill="0" autoLine="0" autoPict="0">
                <anchor moveWithCells="1">
                  <from>
                    <xdr:col>10</xdr:col>
                    <xdr:colOff>365760</xdr:colOff>
                    <xdr:row>5</xdr:row>
                    <xdr:rowOff>175260</xdr:rowOff>
                  </from>
                  <to>
                    <xdr:col>10</xdr:col>
                    <xdr:colOff>579120</xdr:colOff>
                    <xdr:row>5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4" name="B_13">
              <controlPr defaultSize="0" autoFill="0" autoLine="0" autoPict="0">
                <anchor moveWithCells="1">
                  <from>
                    <xdr:col>7</xdr:col>
                    <xdr:colOff>350520</xdr:colOff>
                    <xdr:row>6</xdr:row>
                    <xdr:rowOff>175260</xdr:rowOff>
                  </from>
                  <to>
                    <xdr:col>7</xdr:col>
                    <xdr:colOff>670560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5" name="B_14">
              <controlPr defaultSize="0" autoFill="0" autoLine="0" autoPict="0">
                <anchor moveWithCells="1">
                  <from>
                    <xdr:col>8</xdr:col>
                    <xdr:colOff>350520</xdr:colOff>
                    <xdr:row>6</xdr:row>
                    <xdr:rowOff>160020</xdr:rowOff>
                  </from>
                  <to>
                    <xdr:col>8</xdr:col>
                    <xdr:colOff>769620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6" name="B_15">
              <controlPr defaultSize="0" autoFill="0" autoLine="0" autoPict="0">
                <anchor moveWithCells="1">
                  <from>
                    <xdr:col>9</xdr:col>
                    <xdr:colOff>304800</xdr:colOff>
                    <xdr:row>6</xdr:row>
                    <xdr:rowOff>152400</xdr:rowOff>
                  </from>
                  <to>
                    <xdr:col>9</xdr:col>
                    <xdr:colOff>647700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7" name="Group Box 40">
              <controlPr defaultSize="0" autoFill="0" autoPict="0">
                <anchor moveWithCells="1">
                  <from>
                    <xdr:col>7</xdr:col>
                    <xdr:colOff>60960</xdr:colOff>
                    <xdr:row>6</xdr:row>
                    <xdr:rowOff>60960</xdr:rowOff>
                  </from>
                  <to>
                    <xdr:col>10</xdr:col>
                    <xdr:colOff>754380</xdr:colOff>
                    <xdr:row>6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8" name="B_16">
              <controlPr defaultSize="0" autoFill="0" autoLine="0" autoPict="0">
                <anchor moveWithCells="1">
                  <from>
                    <xdr:col>10</xdr:col>
                    <xdr:colOff>365760</xdr:colOff>
                    <xdr:row>6</xdr:row>
                    <xdr:rowOff>175260</xdr:rowOff>
                  </from>
                  <to>
                    <xdr:col>10</xdr:col>
                    <xdr:colOff>594360</xdr:colOff>
                    <xdr:row>6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9" name="B_21">
              <controlPr defaultSize="0" autoFill="0" autoLine="0" autoPict="0">
                <anchor moveWithCells="1">
                  <from>
                    <xdr:col>7</xdr:col>
                    <xdr:colOff>350520</xdr:colOff>
                    <xdr:row>7</xdr:row>
                    <xdr:rowOff>152400</xdr:rowOff>
                  </from>
                  <to>
                    <xdr:col>7</xdr:col>
                    <xdr:colOff>670560</xdr:colOff>
                    <xdr:row>7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0" name="B_22">
              <controlPr defaultSize="0" autoFill="0" autoLine="0" autoPict="0">
                <anchor moveWithCells="1">
                  <from>
                    <xdr:col>8</xdr:col>
                    <xdr:colOff>350520</xdr:colOff>
                    <xdr:row>7</xdr:row>
                    <xdr:rowOff>137160</xdr:rowOff>
                  </from>
                  <to>
                    <xdr:col>8</xdr:col>
                    <xdr:colOff>769620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1" name="B_23">
              <controlPr defaultSize="0" autoFill="0" autoLine="0" autoPict="0">
                <anchor moveWithCells="1">
                  <from>
                    <xdr:col>9</xdr:col>
                    <xdr:colOff>304800</xdr:colOff>
                    <xdr:row>7</xdr:row>
                    <xdr:rowOff>137160</xdr:rowOff>
                  </from>
                  <to>
                    <xdr:col>9</xdr:col>
                    <xdr:colOff>647700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2" name="Group Box 45">
              <controlPr defaultSize="0" autoFill="0" autoPict="0">
                <anchor moveWithCells="1">
                  <from>
                    <xdr:col>7</xdr:col>
                    <xdr:colOff>60960</xdr:colOff>
                    <xdr:row>7</xdr:row>
                    <xdr:rowOff>60960</xdr:rowOff>
                  </from>
                  <to>
                    <xdr:col>10</xdr:col>
                    <xdr:colOff>754380</xdr:colOff>
                    <xdr:row>7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3" name="B_24">
              <controlPr defaultSize="0" autoFill="0" autoLine="0" autoPict="0">
                <anchor moveWithCells="1">
                  <from>
                    <xdr:col>10</xdr:col>
                    <xdr:colOff>365760</xdr:colOff>
                    <xdr:row>7</xdr:row>
                    <xdr:rowOff>152400</xdr:rowOff>
                  </from>
                  <to>
                    <xdr:col>10</xdr:col>
                    <xdr:colOff>594360</xdr:colOff>
                    <xdr:row>7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4" name="B_29">
              <controlPr defaultSize="0" autoFill="0" autoLine="0" autoPict="0">
                <anchor moveWithCells="1">
                  <from>
                    <xdr:col>7</xdr:col>
                    <xdr:colOff>365760</xdr:colOff>
                    <xdr:row>8</xdr:row>
                    <xdr:rowOff>152400</xdr:rowOff>
                  </from>
                  <to>
                    <xdr:col>7</xdr:col>
                    <xdr:colOff>678180</xdr:colOff>
                    <xdr:row>8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5" name="B_30">
              <controlPr defaultSize="0" autoFill="0" autoLine="0" autoPict="0">
                <anchor moveWithCells="1">
                  <from>
                    <xdr:col>8</xdr:col>
                    <xdr:colOff>365760</xdr:colOff>
                    <xdr:row>8</xdr:row>
                    <xdr:rowOff>137160</xdr:rowOff>
                  </from>
                  <to>
                    <xdr:col>8</xdr:col>
                    <xdr:colOff>784860</xdr:colOff>
                    <xdr:row>8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46" name="B_31">
              <controlPr defaultSize="0" autoFill="0" autoLine="0" autoPict="0">
                <anchor moveWithCells="1">
                  <from>
                    <xdr:col>9</xdr:col>
                    <xdr:colOff>327660</xdr:colOff>
                    <xdr:row>8</xdr:row>
                    <xdr:rowOff>137160</xdr:rowOff>
                  </from>
                  <to>
                    <xdr:col>9</xdr:col>
                    <xdr:colOff>655320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47" name="Group Box 50">
              <controlPr defaultSize="0" autoFill="0" autoPict="0">
                <anchor moveWithCells="1">
                  <from>
                    <xdr:col>7</xdr:col>
                    <xdr:colOff>68580</xdr:colOff>
                    <xdr:row>8</xdr:row>
                    <xdr:rowOff>60960</xdr:rowOff>
                  </from>
                  <to>
                    <xdr:col>10</xdr:col>
                    <xdr:colOff>769620</xdr:colOff>
                    <xdr:row>8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48" name="B_32">
              <controlPr defaultSize="0" autoFill="0" autoLine="0" autoPict="0">
                <anchor moveWithCells="1">
                  <from>
                    <xdr:col>10</xdr:col>
                    <xdr:colOff>381000</xdr:colOff>
                    <xdr:row>8</xdr:row>
                    <xdr:rowOff>152400</xdr:rowOff>
                  </from>
                  <to>
                    <xdr:col>10</xdr:col>
                    <xdr:colOff>601980</xdr:colOff>
                    <xdr:row>8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49" name="B_37">
              <controlPr defaultSize="0" autoFill="0" autoLine="0" autoPict="0">
                <anchor moveWithCells="1">
                  <from>
                    <xdr:col>7</xdr:col>
                    <xdr:colOff>373380</xdr:colOff>
                    <xdr:row>9</xdr:row>
                    <xdr:rowOff>175260</xdr:rowOff>
                  </from>
                  <to>
                    <xdr:col>7</xdr:col>
                    <xdr:colOff>693420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0" name="B_38">
              <controlPr defaultSize="0" autoFill="0" autoLine="0" autoPict="0">
                <anchor moveWithCells="1">
                  <from>
                    <xdr:col>8</xdr:col>
                    <xdr:colOff>373380</xdr:colOff>
                    <xdr:row>9</xdr:row>
                    <xdr:rowOff>160020</xdr:rowOff>
                  </from>
                  <to>
                    <xdr:col>8</xdr:col>
                    <xdr:colOff>792480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1" name="B_39">
              <controlPr defaultSize="0" autoFill="0" autoLine="0" autoPict="0">
                <anchor moveWithCells="1">
                  <from>
                    <xdr:col>9</xdr:col>
                    <xdr:colOff>327660</xdr:colOff>
                    <xdr:row>9</xdr:row>
                    <xdr:rowOff>152400</xdr:rowOff>
                  </from>
                  <to>
                    <xdr:col>9</xdr:col>
                    <xdr:colOff>670560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2" name="Group Box 55">
              <controlPr defaultSize="0" autoFill="0" autoPict="0">
                <anchor moveWithCells="1">
                  <from>
                    <xdr:col>7</xdr:col>
                    <xdr:colOff>76200</xdr:colOff>
                    <xdr:row>9</xdr:row>
                    <xdr:rowOff>83820</xdr:rowOff>
                  </from>
                  <to>
                    <xdr:col>10</xdr:col>
                    <xdr:colOff>784860</xdr:colOff>
                    <xdr:row>9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3" name="B_40">
              <controlPr defaultSize="0" autoFill="0" autoLine="0" autoPict="0">
                <anchor moveWithCells="1">
                  <from>
                    <xdr:col>10</xdr:col>
                    <xdr:colOff>388620</xdr:colOff>
                    <xdr:row>9</xdr:row>
                    <xdr:rowOff>175260</xdr:rowOff>
                  </from>
                  <to>
                    <xdr:col>10</xdr:col>
                    <xdr:colOff>609600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54" name="B_41">
              <controlPr defaultSize="0" autoFill="0" autoLine="0" autoPict="0">
                <anchor moveWithCells="1">
                  <from>
                    <xdr:col>3</xdr:col>
                    <xdr:colOff>312420</xdr:colOff>
                    <xdr:row>12</xdr:row>
                    <xdr:rowOff>152400</xdr:rowOff>
                  </from>
                  <to>
                    <xdr:col>3</xdr:col>
                    <xdr:colOff>632460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55" name="B_42">
              <controlPr defaultSize="0" autoFill="0" autoLine="0" autoPict="0">
                <anchor moveWithCells="1">
                  <from>
                    <xdr:col>4</xdr:col>
                    <xdr:colOff>327660</xdr:colOff>
                    <xdr:row>12</xdr:row>
                    <xdr:rowOff>137160</xdr:rowOff>
                  </from>
                  <to>
                    <xdr:col>4</xdr:col>
                    <xdr:colOff>746760</xdr:colOff>
                    <xdr:row>12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56" name="B_43">
              <controlPr defaultSize="0" autoFill="0" autoLine="0" autoPict="0">
                <anchor moveWithCells="1">
                  <from>
                    <xdr:col>5</xdr:col>
                    <xdr:colOff>327660</xdr:colOff>
                    <xdr:row>12</xdr:row>
                    <xdr:rowOff>137160</xdr:rowOff>
                  </from>
                  <to>
                    <xdr:col>5</xdr:col>
                    <xdr:colOff>670560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57" name="Group Box 60">
              <controlPr defaultSize="0" autoFill="0" autoPict="0">
                <anchor moveWithCells="1">
                  <from>
                    <xdr:col>3</xdr:col>
                    <xdr:colOff>60960</xdr:colOff>
                    <xdr:row>12</xdr:row>
                    <xdr:rowOff>60960</xdr:rowOff>
                  </from>
                  <to>
                    <xdr:col>6</xdr:col>
                    <xdr:colOff>678180</xdr:colOff>
                    <xdr:row>12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58" name="B_44">
              <controlPr defaultSize="0" autoFill="0" autoLine="0" autoPict="0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6</xdr:col>
                    <xdr:colOff>594360</xdr:colOff>
                    <xdr:row>12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59" name="B_49">
              <controlPr defaultSize="0" autoFill="0" autoLine="0" autoPict="0">
                <anchor moveWithCells="1">
                  <from>
                    <xdr:col>3</xdr:col>
                    <xdr:colOff>312420</xdr:colOff>
                    <xdr:row>13</xdr:row>
                    <xdr:rowOff>152400</xdr:rowOff>
                  </from>
                  <to>
                    <xdr:col>3</xdr:col>
                    <xdr:colOff>632460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0" name="B_50">
              <controlPr defaultSize="0" autoFill="0" autoLine="0" autoPict="0">
                <anchor moveWithCells="1">
                  <from>
                    <xdr:col>4</xdr:col>
                    <xdr:colOff>327660</xdr:colOff>
                    <xdr:row>13</xdr:row>
                    <xdr:rowOff>137160</xdr:rowOff>
                  </from>
                  <to>
                    <xdr:col>4</xdr:col>
                    <xdr:colOff>746760</xdr:colOff>
                    <xdr:row>13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1" name="B_51">
              <controlPr defaultSize="0" autoFill="0" autoLine="0" autoPict="0">
                <anchor moveWithCells="1">
                  <from>
                    <xdr:col>5</xdr:col>
                    <xdr:colOff>327660</xdr:colOff>
                    <xdr:row>13</xdr:row>
                    <xdr:rowOff>137160</xdr:rowOff>
                  </from>
                  <to>
                    <xdr:col>5</xdr:col>
                    <xdr:colOff>670560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2" name="Group Box 65">
              <controlPr defaultSize="0" autoFill="0" autoPict="0">
                <anchor moveWithCells="1">
                  <from>
                    <xdr:col>3</xdr:col>
                    <xdr:colOff>60960</xdr:colOff>
                    <xdr:row>13</xdr:row>
                    <xdr:rowOff>60960</xdr:rowOff>
                  </from>
                  <to>
                    <xdr:col>6</xdr:col>
                    <xdr:colOff>678180</xdr:colOff>
                    <xdr:row>13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63" name="B_52">
              <controlPr defaultSize="0" autoFill="0" autoLine="0" autoPict="0">
                <anchor moveWithCells="1">
                  <from>
                    <xdr:col>6</xdr:col>
                    <xdr:colOff>365760</xdr:colOff>
                    <xdr:row>13</xdr:row>
                    <xdr:rowOff>152400</xdr:rowOff>
                  </from>
                  <to>
                    <xdr:col>6</xdr:col>
                    <xdr:colOff>594360</xdr:colOff>
                    <xdr:row>13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64" name="B_57">
              <controlPr defaultSize="0" autoFill="0" autoLine="0" autoPict="0">
                <anchor moveWithCells="1">
                  <from>
                    <xdr:col>3</xdr:col>
                    <xdr:colOff>312420</xdr:colOff>
                    <xdr:row>14</xdr:row>
                    <xdr:rowOff>137160</xdr:rowOff>
                  </from>
                  <to>
                    <xdr:col>3</xdr:col>
                    <xdr:colOff>632460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65" name="B_58">
              <controlPr defaultSize="0" autoFill="0" autoLine="0" autoPict="0">
                <anchor moveWithCells="1">
                  <from>
                    <xdr:col>4</xdr:col>
                    <xdr:colOff>327660</xdr:colOff>
                    <xdr:row>14</xdr:row>
                    <xdr:rowOff>121920</xdr:rowOff>
                  </from>
                  <to>
                    <xdr:col>4</xdr:col>
                    <xdr:colOff>746760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5" r:id="rId66" name="B_59">
              <controlPr defaultSize="0" autoFill="0" autoLine="0" autoPict="0">
                <anchor moveWithCells="1">
                  <from>
                    <xdr:col>5</xdr:col>
                    <xdr:colOff>327660</xdr:colOff>
                    <xdr:row>14</xdr:row>
                    <xdr:rowOff>114300</xdr:rowOff>
                  </from>
                  <to>
                    <xdr:col>5</xdr:col>
                    <xdr:colOff>670560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67" name="Group Box 70">
              <controlPr defaultSize="0" autoFill="0" autoPict="0">
                <anchor moveWithCells="1">
                  <from>
                    <xdr:col>3</xdr:col>
                    <xdr:colOff>60960</xdr:colOff>
                    <xdr:row>14</xdr:row>
                    <xdr:rowOff>45720</xdr:rowOff>
                  </from>
                  <to>
                    <xdr:col>6</xdr:col>
                    <xdr:colOff>678180</xdr:colOff>
                    <xdr:row>14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7" r:id="rId68" name="B_60">
              <controlPr defaultSize="0" autoFill="0" autoLine="0" autoPict="0">
                <anchor moveWithCells="1">
                  <from>
                    <xdr:col>6</xdr:col>
                    <xdr:colOff>365760</xdr:colOff>
                    <xdr:row>14</xdr:row>
                    <xdr:rowOff>137160</xdr:rowOff>
                  </from>
                  <to>
                    <xdr:col>6</xdr:col>
                    <xdr:colOff>594360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8" r:id="rId69" name="B_65">
              <controlPr defaultSize="0" autoFill="0" autoLine="0" autoPict="0">
                <anchor moveWithCells="1">
                  <from>
                    <xdr:col>3</xdr:col>
                    <xdr:colOff>312420</xdr:colOff>
                    <xdr:row>15</xdr:row>
                    <xdr:rowOff>137160</xdr:rowOff>
                  </from>
                  <to>
                    <xdr:col>3</xdr:col>
                    <xdr:colOff>632460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9" r:id="rId70" name="B_66">
              <controlPr defaultSize="0" autoFill="0" autoLine="0" autoPict="0">
                <anchor moveWithCells="1">
                  <from>
                    <xdr:col>4</xdr:col>
                    <xdr:colOff>327660</xdr:colOff>
                    <xdr:row>15</xdr:row>
                    <xdr:rowOff>114300</xdr:rowOff>
                  </from>
                  <to>
                    <xdr:col>4</xdr:col>
                    <xdr:colOff>746760</xdr:colOff>
                    <xdr:row>15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71" name="B_67">
              <controlPr defaultSize="0" autoFill="0" autoLine="0" autoPict="0">
                <anchor moveWithCells="1">
                  <from>
                    <xdr:col>5</xdr:col>
                    <xdr:colOff>327660</xdr:colOff>
                    <xdr:row>15</xdr:row>
                    <xdr:rowOff>106680</xdr:rowOff>
                  </from>
                  <to>
                    <xdr:col>5</xdr:col>
                    <xdr:colOff>670560</xdr:colOff>
                    <xdr:row>15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1" r:id="rId72" name="Group Box 75">
              <controlPr defaultSize="0" autoFill="0" autoPict="0">
                <anchor moveWithCells="1">
                  <from>
                    <xdr:col>3</xdr:col>
                    <xdr:colOff>60960</xdr:colOff>
                    <xdr:row>15</xdr:row>
                    <xdr:rowOff>38100</xdr:rowOff>
                  </from>
                  <to>
                    <xdr:col>6</xdr:col>
                    <xdr:colOff>678180</xdr:colOff>
                    <xdr:row>15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2" r:id="rId73" name="B_68">
              <controlPr defaultSize="0" autoFill="0" autoLine="0" autoPict="0">
                <anchor moveWithCells="1">
                  <from>
                    <xdr:col>6</xdr:col>
                    <xdr:colOff>365760</xdr:colOff>
                    <xdr:row>15</xdr:row>
                    <xdr:rowOff>137160</xdr:rowOff>
                  </from>
                  <to>
                    <xdr:col>6</xdr:col>
                    <xdr:colOff>594360</xdr:colOff>
                    <xdr:row>15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74" name="B_73">
              <controlPr defaultSize="0" autoFill="0" autoLine="0" autoPict="0">
                <anchor moveWithCells="1">
                  <from>
                    <xdr:col>3</xdr:col>
                    <xdr:colOff>327660</xdr:colOff>
                    <xdr:row>16</xdr:row>
                    <xdr:rowOff>137160</xdr:rowOff>
                  </from>
                  <to>
                    <xdr:col>3</xdr:col>
                    <xdr:colOff>640080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75" name="B_74">
              <controlPr defaultSize="0" autoFill="0" autoLine="0" autoPict="0">
                <anchor moveWithCells="1">
                  <from>
                    <xdr:col>4</xdr:col>
                    <xdr:colOff>335280</xdr:colOff>
                    <xdr:row>16</xdr:row>
                    <xdr:rowOff>114300</xdr:rowOff>
                  </from>
                  <to>
                    <xdr:col>4</xdr:col>
                    <xdr:colOff>754380</xdr:colOff>
                    <xdr:row>16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5" r:id="rId76" name="B_75">
              <controlPr defaultSize="0" autoFill="0" autoLine="0" autoPict="0">
                <anchor moveWithCells="1">
                  <from>
                    <xdr:col>5</xdr:col>
                    <xdr:colOff>327660</xdr:colOff>
                    <xdr:row>16</xdr:row>
                    <xdr:rowOff>114300</xdr:rowOff>
                  </from>
                  <to>
                    <xdr:col>5</xdr:col>
                    <xdr:colOff>670560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77" name="Group Box 80">
              <controlPr defaultSize="0" autoFill="0" autoPict="0">
                <anchor moveWithCells="1">
                  <from>
                    <xdr:col>3</xdr:col>
                    <xdr:colOff>60960</xdr:colOff>
                    <xdr:row>16</xdr:row>
                    <xdr:rowOff>38100</xdr:rowOff>
                  </from>
                  <to>
                    <xdr:col>6</xdr:col>
                    <xdr:colOff>685800</xdr:colOff>
                    <xdr:row>16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78" name="B_76">
              <controlPr defaultSize="0" autoFill="0" autoLine="0" autoPict="0">
                <anchor moveWithCells="1">
                  <from>
                    <xdr:col>6</xdr:col>
                    <xdr:colOff>373380</xdr:colOff>
                    <xdr:row>16</xdr:row>
                    <xdr:rowOff>137160</xdr:rowOff>
                  </from>
                  <to>
                    <xdr:col>6</xdr:col>
                    <xdr:colOff>594360</xdr:colOff>
                    <xdr:row>16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" r:id="rId79" name="B_45">
              <controlPr defaultSize="0" autoFill="0" autoLine="0" autoPict="0">
                <anchor moveWithCells="1">
                  <from>
                    <xdr:col>7</xdr:col>
                    <xdr:colOff>312420</xdr:colOff>
                    <xdr:row>12</xdr:row>
                    <xdr:rowOff>152400</xdr:rowOff>
                  </from>
                  <to>
                    <xdr:col>7</xdr:col>
                    <xdr:colOff>632460</xdr:colOff>
                    <xdr:row>12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80" name="B_46">
              <controlPr defaultSize="0" autoFill="0" autoLine="0" autoPict="0">
                <anchor moveWithCells="1">
                  <from>
                    <xdr:col>8</xdr:col>
                    <xdr:colOff>304800</xdr:colOff>
                    <xdr:row>12</xdr:row>
                    <xdr:rowOff>137160</xdr:rowOff>
                  </from>
                  <to>
                    <xdr:col>8</xdr:col>
                    <xdr:colOff>723900</xdr:colOff>
                    <xdr:row>12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0" r:id="rId81" name="B_47">
              <controlPr defaultSize="0" autoFill="0" autoLine="0" autoPict="0">
                <anchor moveWithCells="1">
                  <from>
                    <xdr:col>9</xdr:col>
                    <xdr:colOff>251460</xdr:colOff>
                    <xdr:row>12</xdr:row>
                    <xdr:rowOff>137160</xdr:rowOff>
                  </from>
                  <to>
                    <xdr:col>9</xdr:col>
                    <xdr:colOff>594360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1" r:id="rId82" name="Group Box 85">
              <controlPr defaultSize="0" autoFill="0" autoPict="0">
                <anchor moveWithCells="1">
                  <from>
                    <xdr:col>7</xdr:col>
                    <xdr:colOff>60960</xdr:colOff>
                    <xdr:row>12</xdr:row>
                    <xdr:rowOff>60960</xdr:rowOff>
                  </from>
                  <to>
                    <xdr:col>10</xdr:col>
                    <xdr:colOff>754380</xdr:colOff>
                    <xdr:row>12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2" r:id="rId83" name="B_48">
              <controlPr defaultSize="0" autoFill="0" autoLine="0" autoPict="0">
                <anchor moveWithCells="1">
                  <from>
                    <xdr:col>10</xdr:col>
                    <xdr:colOff>365760</xdr:colOff>
                    <xdr:row>12</xdr:row>
                    <xdr:rowOff>152400</xdr:rowOff>
                  </from>
                  <to>
                    <xdr:col>10</xdr:col>
                    <xdr:colOff>594360</xdr:colOff>
                    <xdr:row>12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3" r:id="rId84" name="B_53">
              <controlPr defaultSize="0" autoFill="0" autoLine="0" autoPict="0">
                <anchor moveWithCells="1">
                  <from>
                    <xdr:col>7</xdr:col>
                    <xdr:colOff>312420</xdr:colOff>
                    <xdr:row>13</xdr:row>
                    <xdr:rowOff>152400</xdr:rowOff>
                  </from>
                  <to>
                    <xdr:col>7</xdr:col>
                    <xdr:colOff>632460</xdr:colOff>
                    <xdr:row>13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4" r:id="rId85" name="B_54">
              <controlPr defaultSize="0" autoFill="0" autoLine="0" autoPict="0">
                <anchor moveWithCells="1">
                  <from>
                    <xdr:col>8</xdr:col>
                    <xdr:colOff>304800</xdr:colOff>
                    <xdr:row>13</xdr:row>
                    <xdr:rowOff>137160</xdr:rowOff>
                  </from>
                  <to>
                    <xdr:col>8</xdr:col>
                    <xdr:colOff>723900</xdr:colOff>
                    <xdr:row>13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5" r:id="rId86" name="B_55">
              <controlPr defaultSize="0" autoFill="0" autoLine="0" autoPict="0">
                <anchor moveWithCells="1">
                  <from>
                    <xdr:col>9</xdr:col>
                    <xdr:colOff>251460</xdr:colOff>
                    <xdr:row>13</xdr:row>
                    <xdr:rowOff>121920</xdr:rowOff>
                  </from>
                  <to>
                    <xdr:col>9</xdr:col>
                    <xdr:colOff>594360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6" r:id="rId87" name="Group Box 90">
              <controlPr defaultSize="0" autoFill="0" autoPict="0">
                <anchor moveWithCells="1">
                  <from>
                    <xdr:col>7</xdr:col>
                    <xdr:colOff>60960</xdr:colOff>
                    <xdr:row>13</xdr:row>
                    <xdr:rowOff>60960</xdr:rowOff>
                  </from>
                  <to>
                    <xdr:col>10</xdr:col>
                    <xdr:colOff>762000</xdr:colOff>
                    <xdr:row>13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7" r:id="rId88" name="B_56">
              <controlPr defaultSize="0" autoFill="0" autoLine="0" autoPict="0">
                <anchor moveWithCells="1">
                  <from>
                    <xdr:col>10</xdr:col>
                    <xdr:colOff>365760</xdr:colOff>
                    <xdr:row>13</xdr:row>
                    <xdr:rowOff>152400</xdr:rowOff>
                  </from>
                  <to>
                    <xdr:col>10</xdr:col>
                    <xdr:colOff>594360</xdr:colOff>
                    <xdr:row>13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" r:id="rId89" name="B_61">
              <controlPr defaultSize="0" autoFill="0" autoLine="0" autoPict="0">
                <anchor moveWithCells="1">
                  <from>
                    <xdr:col>7</xdr:col>
                    <xdr:colOff>327660</xdr:colOff>
                    <xdr:row>14</xdr:row>
                    <xdr:rowOff>137160</xdr:rowOff>
                  </from>
                  <to>
                    <xdr:col>7</xdr:col>
                    <xdr:colOff>640080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9" r:id="rId90" name="B_62">
              <controlPr defaultSize="0" autoFill="0" autoLine="0" autoPict="0">
                <anchor moveWithCells="1">
                  <from>
                    <xdr:col>8</xdr:col>
                    <xdr:colOff>312420</xdr:colOff>
                    <xdr:row>14</xdr:row>
                    <xdr:rowOff>137160</xdr:rowOff>
                  </from>
                  <to>
                    <xdr:col>8</xdr:col>
                    <xdr:colOff>731520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0" r:id="rId91" name="B_63">
              <controlPr defaultSize="0" autoFill="0" autoLine="0" autoPict="0">
                <anchor moveWithCells="1">
                  <from>
                    <xdr:col>9</xdr:col>
                    <xdr:colOff>251460</xdr:colOff>
                    <xdr:row>14</xdr:row>
                    <xdr:rowOff>114300</xdr:rowOff>
                  </from>
                  <to>
                    <xdr:col>9</xdr:col>
                    <xdr:colOff>601980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1" r:id="rId92" name="Group Box 95">
              <controlPr defaultSize="0" autoFill="0" autoPict="0">
                <anchor moveWithCells="1">
                  <from>
                    <xdr:col>7</xdr:col>
                    <xdr:colOff>60960</xdr:colOff>
                    <xdr:row>14</xdr:row>
                    <xdr:rowOff>45720</xdr:rowOff>
                  </from>
                  <to>
                    <xdr:col>10</xdr:col>
                    <xdr:colOff>784860</xdr:colOff>
                    <xdr:row>14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2" r:id="rId93" name="B_64">
              <controlPr defaultSize="0" autoFill="0" autoLine="0" autoPict="0">
                <anchor moveWithCells="1">
                  <from>
                    <xdr:col>10</xdr:col>
                    <xdr:colOff>373380</xdr:colOff>
                    <xdr:row>14</xdr:row>
                    <xdr:rowOff>137160</xdr:rowOff>
                  </from>
                  <to>
                    <xdr:col>10</xdr:col>
                    <xdr:colOff>594360</xdr:colOff>
                    <xdr:row>14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3" r:id="rId94" name="B_69">
              <controlPr defaultSize="0" autoFill="0" autoLine="0" autoPict="0">
                <anchor moveWithCells="1">
                  <from>
                    <xdr:col>7</xdr:col>
                    <xdr:colOff>312420</xdr:colOff>
                    <xdr:row>15</xdr:row>
                    <xdr:rowOff>121920</xdr:rowOff>
                  </from>
                  <to>
                    <xdr:col>7</xdr:col>
                    <xdr:colOff>632460</xdr:colOff>
                    <xdr:row>15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4" r:id="rId95" name="B_70">
              <controlPr defaultSize="0" autoFill="0" autoLine="0" autoPict="0">
                <anchor moveWithCells="1">
                  <from>
                    <xdr:col>8</xdr:col>
                    <xdr:colOff>304800</xdr:colOff>
                    <xdr:row>15</xdr:row>
                    <xdr:rowOff>106680</xdr:rowOff>
                  </from>
                  <to>
                    <xdr:col>8</xdr:col>
                    <xdr:colOff>723900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5" r:id="rId96" name="B_71">
              <controlPr defaultSize="0" autoFill="0" autoLine="0" autoPict="0">
                <anchor moveWithCells="1">
                  <from>
                    <xdr:col>9</xdr:col>
                    <xdr:colOff>251460</xdr:colOff>
                    <xdr:row>15</xdr:row>
                    <xdr:rowOff>99060</xdr:rowOff>
                  </from>
                  <to>
                    <xdr:col>9</xdr:col>
                    <xdr:colOff>594360</xdr:colOff>
                    <xdr:row>15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6" r:id="rId97" name="Group Box 100">
              <controlPr defaultSize="0" autoFill="0" autoPict="0">
                <anchor moveWithCells="1">
                  <from>
                    <xdr:col>7</xdr:col>
                    <xdr:colOff>60960</xdr:colOff>
                    <xdr:row>15</xdr:row>
                    <xdr:rowOff>30480</xdr:rowOff>
                  </from>
                  <to>
                    <xdr:col>10</xdr:col>
                    <xdr:colOff>762000</xdr:colOff>
                    <xdr:row>15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7" r:id="rId98" name="B_72">
              <controlPr defaultSize="0" autoFill="0" autoLine="0" autoPict="0">
                <anchor moveWithCells="1">
                  <from>
                    <xdr:col>10</xdr:col>
                    <xdr:colOff>365760</xdr:colOff>
                    <xdr:row>15</xdr:row>
                    <xdr:rowOff>121920</xdr:rowOff>
                  </from>
                  <to>
                    <xdr:col>10</xdr:col>
                    <xdr:colOff>594360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" r:id="rId99" name="B_77">
              <controlPr defaultSize="0" autoFill="0" autoLine="0" autoPict="0">
                <anchor moveWithCells="1">
                  <from>
                    <xdr:col>7</xdr:col>
                    <xdr:colOff>312420</xdr:colOff>
                    <xdr:row>16</xdr:row>
                    <xdr:rowOff>137160</xdr:rowOff>
                  </from>
                  <to>
                    <xdr:col>7</xdr:col>
                    <xdr:colOff>632460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9" r:id="rId100" name="B_78">
              <controlPr defaultSize="0" autoFill="0" autoLine="0" autoPict="0">
                <anchor moveWithCells="1">
                  <from>
                    <xdr:col>8</xdr:col>
                    <xdr:colOff>304800</xdr:colOff>
                    <xdr:row>16</xdr:row>
                    <xdr:rowOff>114300</xdr:rowOff>
                  </from>
                  <to>
                    <xdr:col>8</xdr:col>
                    <xdr:colOff>723900</xdr:colOff>
                    <xdr:row>16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0" r:id="rId101" name="B_79">
              <controlPr defaultSize="0" autoFill="0" autoLine="0" autoPict="0">
                <anchor moveWithCells="1">
                  <from>
                    <xdr:col>9</xdr:col>
                    <xdr:colOff>251460</xdr:colOff>
                    <xdr:row>16</xdr:row>
                    <xdr:rowOff>114300</xdr:rowOff>
                  </from>
                  <to>
                    <xdr:col>9</xdr:col>
                    <xdr:colOff>594360</xdr:colOff>
                    <xdr:row>16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1" r:id="rId102" name="Group Box 105">
              <controlPr defaultSize="0" autoFill="0" autoPict="0">
                <anchor moveWithCells="1">
                  <from>
                    <xdr:col>7</xdr:col>
                    <xdr:colOff>60960</xdr:colOff>
                    <xdr:row>16</xdr:row>
                    <xdr:rowOff>38100</xdr:rowOff>
                  </from>
                  <to>
                    <xdr:col>10</xdr:col>
                    <xdr:colOff>762000</xdr:colOff>
                    <xdr:row>16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2" r:id="rId103" name="B_80">
              <controlPr defaultSize="0" autoFill="0" autoLine="0" autoPict="0">
                <anchor moveWithCells="1">
                  <from>
                    <xdr:col>10</xdr:col>
                    <xdr:colOff>365760</xdr:colOff>
                    <xdr:row>16</xdr:row>
                    <xdr:rowOff>137160</xdr:rowOff>
                  </from>
                  <to>
                    <xdr:col>10</xdr:col>
                    <xdr:colOff>594360</xdr:colOff>
                    <xdr:row>16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3" r:id="rId104" name="B_81">
              <controlPr defaultSize="0" autoFill="0" autoLine="0" autoPict="0">
                <anchor moveWithCells="1">
                  <from>
                    <xdr:col>7</xdr:col>
                    <xdr:colOff>746760</xdr:colOff>
                    <xdr:row>19</xdr:row>
                    <xdr:rowOff>99060</xdr:rowOff>
                  </from>
                  <to>
                    <xdr:col>8</xdr:col>
                    <xdr:colOff>388620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4" r:id="rId105" name="B_82">
              <controlPr defaultSize="0" autoFill="0" autoLine="0" autoPict="0">
                <anchor moveWithCells="1">
                  <from>
                    <xdr:col>9</xdr:col>
                    <xdr:colOff>693420</xdr:colOff>
                    <xdr:row>19</xdr:row>
                    <xdr:rowOff>99060</xdr:rowOff>
                  </from>
                  <to>
                    <xdr:col>10</xdr:col>
                    <xdr:colOff>441960</xdr:colOff>
                    <xdr:row>19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5" r:id="rId106" name="Group Box 109">
              <controlPr defaultSize="0" autoFill="0" autoPict="0">
                <anchor moveWithCells="1">
                  <from>
                    <xdr:col>7</xdr:col>
                    <xdr:colOff>411480</xdr:colOff>
                    <xdr:row>19</xdr:row>
                    <xdr:rowOff>38100</xdr:rowOff>
                  </from>
                  <to>
                    <xdr:col>10</xdr:col>
                    <xdr:colOff>495300</xdr:colOff>
                    <xdr:row>19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6" r:id="rId107" name="B_83">
              <controlPr defaultSize="0" autoFill="0" autoLine="0" autoPict="0">
                <anchor moveWithCells="1">
                  <from>
                    <xdr:col>7</xdr:col>
                    <xdr:colOff>762000</xdr:colOff>
                    <xdr:row>20</xdr:row>
                    <xdr:rowOff>99060</xdr:rowOff>
                  </from>
                  <to>
                    <xdr:col>8</xdr:col>
                    <xdr:colOff>403860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108" name="B_84">
              <controlPr defaultSize="0" autoFill="0" autoLine="0" autoPict="0">
                <anchor moveWithCells="1">
                  <from>
                    <xdr:col>9</xdr:col>
                    <xdr:colOff>708660</xdr:colOff>
                    <xdr:row>20</xdr:row>
                    <xdr:rowOff>99060</xdr:rowOff>
                  </from>
                  <to>
                    <xdr:col>10</xdr:col>
                    <xdr:colOff>441960</xdr:colOff>
                    <xdr:row>20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" r:id="rId109" name="Group Box 112">
              <controlPr defaultSize="0" autoFill="0" autoPict="0">
                <anchor moveWithCells="1">
                  <from>
                    <xdr:col>7</xdr:col>
                    <xdr:colOff>419100</xdr:colOff>
                    <xdr:row>20</xdr:row>
                    <xdr:rowOff>38100</xdr:rowOff>
                  </from>
                  <to>
                    <xdr:col>10</xdr:col>
                    <xdr:colOff>502920</xdr:colOff>
                    <xdr:row>20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9" r:id="rId110" name="B_85">
              <controlPr defaultSize="0" autoFill="0" autoLine="0" autoPict="0">
                <anchor moveWithCells="1">
                  <from>
                    <xdr:col>7</xdr:col>
                    <xdr:colOff>769620</xdr:colOff>
                    <xdr:row>21</xdr:row>
                    <xdr:rowOff>99060</xdr:rowOff>
                  </from>
                  <to>
                    <xdr:col>8</xdr:col>
                    <xdr:colOff>403860</xdr:colOff>
                    <xdr:row>21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0" r:id="rId111" name="B_86">
              <controlPr defaultSize="0" autoFill="0" autoLine="0" autoPict="0">
                <anchor moveWithCells="1">
                  <from>
                    <xdr:col>9</xdr:col>
                    <xdr:colOff>708660</xdr:colOff>
                    <xdr:row>21</xdr:row>
                    <xdr:rowOff>99060</xdr:rowOff>
                  </from>
                  <to>
                    <xdr:col>10</xdr:col>
                    <xdr:colOff>441960</xdr:colOff>
                    <xdr:row>21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1" r:id="rId112" name="Group Box 115">
              <controlPr defaultSize="0" autoFill="0" autoPict="0">
                <anchor moveWithCells="1">
                  <from>
                    <xdr:col>7</xdr:col>
                    <xdr:colOff>419100</xdr:colOff>
                    <xdr:row>21</xdr:row>
                    <xdr:rowOff>30480</xdr:rowOff>
                  </from>
                  <to>
                    <xdr:col>10</xdr:col>
                    <xdr:colOff>502920</xdr:colOff>
                    <xdr:row>21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5" r:id="rId113" name="B_87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8</xdr:col>
                    <xdr:colOff>403860</xdr:colOff>
                    <xdr:row>22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6" r:id="rId114" name="B_88">
              <controlPr defaultSize="0" autoFill="0" autoLine="0" autoPict="0">
                <anchor moveWithCells="1">
                  <from>
                    <xdr:col>10</xdr:col>
                    <xdr:colOff>0</xdr:colOff>
                    <xdr:row>22</xdr:row>
                    <xdr:rowOff>114300</xdr:rowOff>
                  </from>
                  <to>
                    <xdr:col>10</xdr:col>
                    <xdr:colOff>449580</xdr:colOff>
                    <xdr:row>22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7" r:id="rId115" name="Group Box 121">
              <controlPr defaultSize="0" autoFill="0" autoPict="0">
                <anchor moveWithCells="1">
                  <from>
                    <xdr:col>7</xdr:col>
                    <xdr:colOff>426720</xdr:colOff>
                    <xdr:row>22</xdr:row>
                    <xdr:rowOff>45720</xdr:rowOff>
                  </from>
                  <to>
                    <xdr:col>10</xdr:col>
                    <xdr:colOff>518160</xdr:colOff>
                    <xdr:row>22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" r:id="rId116" name="B_89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99060</xdr:rowOff>
                  </from>
                  <to>
                    <xdr:col>8</xdr:col>
                    <xdr:colOff>403860</xdr:colOff>
                    <xdr:row>23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9" r:id="rId117" name="B_90">
              <controlPr defaultSize="0" autoFill="0" autoLine="0" autoPict="0">
                <anchor moveWithCells="1">
                  <from>
                    <xdr:col>9</xdr:col>
                    <xdr:colOff>708660</xdr:colOff>
                    <xdr:row>23</xdr:row>
                    <xdr:rowOff>121920</xdr:rowOff>
                  </from>
                  <to>
                    <xdr:col>10</xdr:col>
                    <xdr:colOff>449580</xdr:colOff>
                    <xdr:row>23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0" r:id="rId118" name="Group Box 124">
              <controlPr defaultSize="0" autoFill="0" autoPict="0">
                <anchor moveWithCells="1">
                  <from>
                    <xdr:col>7</xdr:col>
                    <xdr:colOff>426720</xdr:colOff>
                    <xdr:row>23</xdr:row>
                    <xdr:rowOff>30480</xdr:rowOff>
                  </from>
                  <to>
                    <xdr:col>10</xdr:col>
                    <xdr:colOff>518160</xdr:colOff>
                    <xdr:row>23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4" r:id="rId119" name="B_91">
              <controlPr defaultSize="0" autoFill="0" autoLine="0" autoPict="0">
                <anchor moveWithCells="1">
                  <from>
                    <xdr:col>7</xdr:col>
                    <xdr:colOff>800100</xdr:colOff>
                    <xdr:row>24</xdr:row>
                    <xdr:rowOff>99060</xdr:rowOff>
                  </from>
                  <to>
                    <xdr:col>8</xdr:col>
                    <xdr:colOff>403860</xdr:colOff>
                    <xdr:row>24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5" r:id="rId120" name="B_92">
              <controlPr defaultSize="0" autoFill="0" autoLine="0" autoPict="0">
                <anchor moveWithCells="1">
                  <from>
                    <xdr:col>9</xdr:col>
                    <xdr:colOff>708660</xdr:colOff>
                    <xdr:row>24</xdr:row>
                    <xdr:rowOff>99060</xdr:rowOff>
                  </from>
                  <to>
                    <xdr:col>10</xdr:col>
                    <xdr:colOff>449580</xdr:colOff>
                    <xdr:row>24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6" r:id="rId121" name="Group Box 130">
              <controlPr defaultSize="0" autoFill="0" autoPict="0">
                <anchor moveWithCells="1">
                  <from>
                    <xdr:col>7</xdr:col>
                    <xdr:colOff>426720</xdr:colOff>
                    <xdr:row>24</xdr:row>
                    <xdr:rowOff>30480</xdr:rowOff>
                  </from>
                  <to>
                    <xdr:col>10</xdr:col>
                    <xdr:colOff>518160</xdr:colOff>
                    <xdr:row>24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7" r:id="rId122" name="B_93">
              <controlPr defaultSize="0" autoFill="0" autoLine="0" autoPict="0">
                <anchor moveWithCells="1">
                  <from>
                    <xdr:col>7</xdr:col>
                    <xdr:colOff>792480</xdr:colOff>
                    <xdr:row>25</xdr:row>
                    <xdr:rowOff>160020</xdr:rowOff>
                  </from>
                  <to>
                    <xdr:col>8</xdr:col>
                    <xdr:colOff>403860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123" name="B_94">
              <controlPr defaultSize="0" autoFill="0" autoLine="0" autoPict="0">
                <anchor moveWithCells="1">
                  <from>
                    <xdr:col>9</xdr:col>
                    <xdr:colOff>708660</xdr:colOff>
                    <xdr:row>25</xdr:row>
                    <xdr:rowOff>160020</xdr:rowOff>
                  </from>
                  <to>
                    <xdr:col>10</xdr:col>
                    <xdr:colOff>449580</xdr:colOff>
                    <xdr:row>25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" r:id="rId124" name="Group Box 133">
              <controlPr defaultSize="0" autoFill="0" autoPict="0">
                <anchor moveWithCells="1">
                  <from>
                    <xdr:col>7</xdr:col>
                    <xdr:colOff>426720</xdr:colOff>
                    <xdr:row>25</xdr:row>
                    <xdr:rowOff>99060</xdr:rowOff>
                  </from>
                  <to>
                    <xdr:col>10</xdr:col>
                    <xdr:colOff>518160</xdr:colOff>
                    <xdr:row>25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0" r:id="rId125" name="B_95">
              <controlPr defaultSize="0" autoFill="0" autoLine="0" autoPict="0">
                <anchor moveWithCells="1">
                  <from>
                    <xdr:col>7</xdr:col>
                    <xdr:colOff>792480</xdr:colOff>
                    <xdr:row>26</xdr:row>
                    <xdr:rowOff>106680</xdr:rowOff>
                  </from>
                  <to>
                    <xdr:col>8</xdr:col>
                    <xdr:colOff>403860</xdr:colOff>
                    <xdr:row>26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1" r:id="rId126" name="B_96">
              <controlPr defaultSize="0" autoFill="0" autoLine="0" autoPict="0">
                <anchor moveWithCells="1">
                  <from>
                    <xdr:col>9</xdr:col>
                    <xdr:colOff>708660</xdr:colOff>
                    <xdr:row>26</xdr:row>
                    <xdr:rowOff>106680</xdr:rowOff>
                  </from>
                  <to>
                    <xdr:col>10</xdr:col>
                    <xdr:colOff>449580</xdr:colOff>
                    <xdr:row>26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2" r:id="rId127" name="Group Box 136">
              <controlPr defaultSize="0" autoFill="0" autoPict="0">
                <anchor moveWithCells="1">
                  <from>
                    <xdr:col>7</xdr:col>
                    <xdr:colOff>426720</xdr:colOff>
                    <xdr:row>26</xdr:row>
                    <xdr:rowOff>45720</xdr:rowOff>
                  </from>
                  <to>
                    <xdr:col>10</xdr:col>
                    <xdr:colOff>518160</xdr:colOff>
                    <xdr:row>26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pageSetUpPr fitToPage="1"/>
  </sheetPr>
  <dimension ref="A1:XFC15"/>
  <sheetViews>
    <sheetView showGridLines="0" showRowColHeaders="0" zoomScaleNormal="100" workbookViewId="0">
      <selection activeCell="B3" sqref="B3:D3"/>
    </sheetView>
  </sheetViews>
  <sheetFormatPr defaultColWidth="0" defaultRowHeight="14.4" zeroHeight="1" x14ac:dyDescent="0.3"/>
  <cols>
    <col min="1" max="1" width="20.6640625" customWidth="1"/>
    <col min="2" max="2" width="10.6640625" style="48" customWidth="1"/>
    <col min="3" max="3" width="30.6640625" customWidth="1"/>
    <col min="4" max="4" width="40.6640625" customWidth="1"/>
    <col min="5" max="5" width="10.6640625" style="4" customWidth="1"/>
    <col min="6" max="6" width="10.6640625" style="13" hidden="1" customWidth="1"/>
    <col min="7" max="9" width="11.5546875" style="13" hidden="1" customWidth="1"/>
    <col min="10" max="10" width="11.5546875" hidden="1" customWidth="1"/>
    <col min="11" max="112" width="0" hidden="1" customWidth="1"/>
    <col min="113" max="16383" width="5.6640625" hidden="1"/>
    <col min="16384" max="16384" width="6.6640625" hidden="1"/>
  </cols>
  <sheetData>
    <row r="1" spans="1:9" x14ac:dyDescent="0.3">
      <c r="A1" s="4"/>
      <c r="B1" s="72"/>
      <c r="C1" s="4"/>
      <c r="D1" s="4"/>
      <c r="F1" s="23"/>
      <c r="H1" s="14" t="s">
        <v>130</v>
      </c>
      <c r="I1" s="13">
        <v>1</v>
      </c>
    </row>
    <row r="2" spans="1:9" ht="15" thickBot="1" x14ac:dyDescent="0.35">
      <c r="A2" s="4"/>
      <c r="B2" s="72"/>
      <c r="C2" s="4"/>
      <c r="D2" s="4"/>
      <c r="F2" s="23"/>
    </row>
    <row r="3" spans="1:9" x14ac:dyDescent="0.3">
      <c r="A3" s="4"/>
      <c r="B3" s="206" t="s">
        <v>394</v>
      </c>
      <c r="C3" s="207"/>
      <c r="D3" s="208"/>
      <c r="E3" s="148"/>
      <c r="F3" s="23"/>
      <c r="G3" s="14" t="s">
        <v>18</v>
      </c>
      <c r="H3" s="14" t="s">
        <v>4</v>
      </c>
      <c r="I3" s="14" t="s">
        <v>5</v>
      </c>
    </row>
    <row r="4" spans="1:9" ht="97.95" customHeight="1" x14ac:dyDescent="0.3">
      <c r="A4" s="4"/>
      <c r="B4" s="89">
        <v>6</v>
      </c>
      <c r="C4" s="77" t="s">
        <v>395</v>
      </c>
      <c r="D4" s="77"/>
      <c r="E4" s="120"/>
      <c r="F4" s="23"/>
      <c r="G4" s="24">
        <v>6</v>
      </c>
      <c r="H4" s="24">
        <v>0</v>
      </c>
      <c r="I4" s="24" t="b">
        <f>IF(H4=1,1,IF(H4=2,0.3,IF(H4=3,0.1,IF(H4=4,0.03))))</f>
        <v>0</v>
      </c>
    </row>
    <row r="5" spans="1:9" ht="60.6" customHeight="1" x14ac:dyDescent="0.3">
      <c r="A5" s="4"/>
      <c r="B5" s="89">
        <v>7</v>
      </c>
      <c r="C5" s="152" t="s">
        <v>421</v>
      </c>
      <c r="D5" s="77"/>
      <c r="E5" s="120"/>
      <c r="F5" s="34"/>
      <c r="G5" s="24" t="s">
        <v>30</v>
      </c>
      <c r="H5" s="24">
        <v>0</v>
      </c>
      <c r="I5" s="24" t="b">
        <f>IF(H5=1,3,IF(H5=2,1,IF(H5=3,1)))</f>
        <v>0</v>
      </c>
    </row>
    <row r="6" spans="1:9" ht="76.95" customHeight="1" x14ac:dyDescent="0.3">
      <c r="A6" s="4"/>
      <c r="B6" s="89">
        <v>8</v>
      </c>
      <c r="C6" s="152" t="s">
        <v>422</v>
      </c>
      <c r="D6" s="77"/>
      <c r="E6" s="120"/>
      <c r="F6" s="34"/>
      <c r="G6" s="24" t="s">
        <v>31</v>
      </c>
      <c r="H6" s="24">
        <v>0</v>
      </c>
      <c r="I6" s="24" t="b">
        <f>IF(H6=1,10,IF(H6=2,3,IF(H6=3,1,IF(H6=4,1))))</f>
        <v>0</v>
      </c>
    </row>
    <row r="7" spans="1:9" ht="76.2" customHeight="1" x14ac:dyDescent="0.3">
      <c r="A7" s="4"/>
      <c r="B7" s="89">
        <v>9</v>
      </c>
      <c r="C7" s="77" t="s">
        <v>423</v>
      </c>
      <c r="D7" s="87"/>
      <c r="E7" s="85"/>
      <c r="F7" s="34"/>
      <c r="G7" s="24" t="s">
        <v>32</v>
      </c>
      <c r="H7" s="24">
        <v>0</v>
      </c>
      <c r="I7" s="24" t="b">
        <f>IF(H7=1,0.3,IF(H7=2,1,IF(H7=3,3,IF(H7=4,10,IF(H7=5,1)))))</f>
        <v>0</v>
      </c>
    </row>
    <row r="8" spans="1:9" ht="64.2" customHeight="1" x14ac:dyDescent="0.3">
      <c r="A8" s="4"/>
      <c r="B8" s="89">
        <v>10</v>
      </c>
      <c r="C8" s="77" t="s">
        <v>398</v>
      </c>
      <c r="D8" s="77"/>
      <c r="E8" s="120"/>
      <c r="F8" s="34"/>
      <c r="G8" s="24" t="s">
        <v>39</v>
      </c>
      <c r="H8" s="24">
        <v>0</v>
      </c>
      <c r="I8" s="24" t="b">
        <f>IF(H8=1,1,IF(H8=2,0.3,IF(H8=3,1)))</f>
        <v>0</v>
      </c>
    </row>
    <row r="9" spans="1:9" ht="67.2" customHeight="1" x14ac:dyDescent="0.3">
      <c r="A9" s="4"/>
      <c r="B9" s="89">
        <v>10.1</v>
      </c>
      <c r="C9" s="77" t="s">
        <v>397</v>
      </c>
      <c r="D9" s="77"/>
      <c r="E9" s="120"/>
      <c r="F9" s="23"/>
      <c r="G9" s="24" t="s">
        <v>38</v>
      </c>
      <c r="H9" s="24">
        <v>0</v>
      </c>
      <c r="I9" s="24" t="b">
        <f>IF(H9=1,1,IF(H9=2,3,IF(H9=3,10,IF(H9=4,1))))</f>
        <v>0</v>
      </c>
    </row>
    <row r="10" spans="1:9" ht="72" customHeight="1" thickBot="1" x14ac:dyDescent="0.35">
      <c r="A10" s="4"/>
      <c r="B10" s="89">
        <v>11</v>
      </c>
      <c r="C10" s="77" t="s">
        <v>396</v>
      </c>
      <c r="D10" s="77"/>
      <c r="E10" s="120"/>
      <c r="F10" s="23"/>
      <c r="G10" s="24">
        <v>12</v>
      </c>
      <c r="H10" s="24">
        <v>0</v>
      </c>
      <c r="I10" s="24" t="b">
        <f>IF(H10=1,1,IF(H10=2,0.3))</f>
        <v>0</v>
      </c>
    </row>
    <row r="11" spans="1:9" ht="15" thickBot="1" x14ac:dyDescent="0.35">
      <c r="A11" s="4"/>
      <c r="B11" s="72"/>
      <c r="C11" s="4"/>
      <c r="D11" s="59"/>
      <c r="E11" s="59"/>
      <c r="F11" s="23"/>
      <c r="H11" s="27" t="s">
        <v>111</v>
      </c>
      <c r="I11" s="37"/>
    </row>
    <row r="12" spans="1:9" x14ac:dyDescent="0.3">
      <c r="D12" s="7"/>
      <c r="E12" s="59"/>
    </row>
    <row r="14" spans="1:9" x14ac:dyDescent="0.3"/>
    <row r="15" spans="1:9" x14ac:dyDescent="0.3"/>
  </sheetData>
  <sheetProtection algorithmName="SHA-512" hashValue="NW4we/NqEaoTXwAVyvs/G8sm/EZT+mdojLoQk9KnCTbSdg6rXIP4kYY2hmRuSAnpWnH52oPqrU72xB4YaIJFyw==" saltValue="GxavDL62ozISPk92uRNHEA==" spinCount="100000" sheet="1" objects="1" scenarios="1" selectLockedCells="1"/>
  <mergeCells count="1">
    <mergeCell ref="B3:D3"/>
  </mergeCell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_1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266700</xdr:rowOff>
                  </from>
                  <to>
                    <xdr:col>3</xdr:col>
                    <xdr:colOff>1706880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_2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457200</xdr:rowOff>
                  </from>
                  <to>
                    <xdr:col>3</xdr:col>
                    <xdr:colOff>1897380</xdr:colOff>
                    <xdr:row>3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_3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647700</xdr:rowOff>
                  </from>
                  <to>
                    <xdr:col>3</xdr:col>
                    <xdr:colOff>2042160</xdr:colOff>
                    <xdr:row>3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_4">
              <controlPr defaultSize="0" autoFill="0" autoLine="0" autoPict="0">
                <anchor moveWithCells="1">
                  <from>
                    <xdr:col>3</xdr:col>
                    <xdr:colOff>144780</xdr:colOff>
                    <xdr:row>3</xdr:row>
                    <xdr:rowOff>838200</xdr:rowOff>
                  </from>
                  <to>
                    <xdr:col>3</xdr:col>
                    <xdr:colOff>2103120</xdr:colOff>
                    <xdr:row>3</xdr:row>
                    <xdr:rowOff>1021080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Group Box 5">
              <controlPr defaultSize="0" autoFill="0" autoPict="0">
                <anchor moveWithCells="1">
                  <from>
                    <xdr:col>3</xdr:col>
                    <xdr:colOff>68580</xdr:colOff>
                    <xdr:row>3</xdr:row>
                    <xdr:rowOff>99060</xdr:rowOff>
                  </from>
                  <to>
                    <xdr:col>3</xdr:col>
                    <xdr:colOff>2308860</xdr:colOff>
                    <xdr:row>3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9" name="B_5">
              <controlPr defaultSize="0" autoFill="0" autoLine="0" autoPict="0">
                <anchor moveWithCells="1">
                  <from>
                    <xdr:col>3</xdr:col>
                    <xdr:colOff>144780</xdr:colOff>
                    <xdr:row>4</xdr:row>
                    <xdr:rowOff>228600</xdr:rowOff>
                  </from>
                  <to>
                    <xdr:col>3</xdr:col>
                    <xdr:colOff>1203960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0" name="B_6">
              <controlPr defaultSize="0" autoFill="0" autoLine="0" autoPict="0">
                <anchor moveWithCells="1">
                  <from>
                    <xdr:col>3</xdr:col>
                    <xdr:colOff>144780</xdr:colOff>
                    <xdr:row>4</xdr:row>
                    <xdr:rowOff>419100</xdr:rowOff>
                  </from>
                  <to>
                    <xdr:col>3</xdr:col>
                    <xdr:colOff>1203960</xdr:colOff>
                    <xdr:row>4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1" name="Group Box 22">
              <controlPr defaultSize="0" autoFill="0" autoPict="0">
                <anchor moveWithCells="1">
                  <from>
                    <xdr:col>3</xdr:col>
                    <xdr:colOff>60960</xdr:colOff>
                    <xdr:row>4</xdr:row>
                    <xdr:rowOff>121920</xdr:rowOff>
                  </from>
                  <to>
                    <xdr:col>3</xdr:col>
                    <xdr:colOff>2286000</xdr:colOff>
                    <xdr:row>4</xdr:row>
                    <xdr:rowOff>655320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2" name="B_7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259080</xdr:rowOff>
                  </from>
                  <to>
                    <xdr:col>3</xdr:col>
                    <xdr:colOff>1684020</xdr:colOff>
                    <xdr:row>5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3" name="B_8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426720</xdr:rowOff>
                  </from>
                  <to>
                    <xdr:col>3</xdr:col>
                    <xdr:colOff>1630680</xdr:colOff>
                    <xdr:row>5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14" name="B_9">
              <controlPr defaultSize="0" autoFill="0" autoLine="0" autoPict="0">
                <anchor moveWithCells="1">
                  <from>
                    <xdr:col>3</xdr:col>
                    <xdr:colOff>144780</xdr:colOff>
                    <xdr:row>5</xdr:row>
                    <xdr:rowOff>601980</xdr:rowOff>
                  </from>
                  <to>
                    <xdr:col>3</xdr:col>
                    <xdr:colOff>1684020</xdr:colOff>
                    <xdr:row>5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15" name="Group Box 26">
              <controlPr defaultSize="0" autoFill="0" autoPict="0">
                <anchor moveWithCells="1">
                  <from>
                    <xdr:col>3</xdr:col>
                    <xdr:colOff>68580</xdr:colOff>
                    <xdr:row>5</xdr:row>
                    <xdr:rowOff>99060</xdr:rowOff>
                  </from>
                  <to>
                    <xdr:col>3</xdr:col>
                    <xdr:colOff>2270760</xdr:colOff>
                    <xdr:row>5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16" name="B_10">
              <controlPr defaultSize="0" autoFill="0" autoLine="0" autoPict="0">
                <anchor moveWithCells="1">
                  <from>
                    <xdr:col>3</xdr:col>
                    <xdr:colOff>144780</xdr:colOff>
                    <xdr:row>6</xdr:row>
                    <xdr:rowOff>160020</xdr:rowOff>
                  </from>
                  <to>
                    <xdr:col>3</xdr:col>
                    <xdr:colOff>1600200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17" name="B_11">
              <controlPr defaultSize="0" autoFill="0" autoLine="0" autoPict="0">
                <anchor moveWithCells="1">
                  <from>
                    <xdr:col>3</xdr:col>
                    <xdr:colOff>144780</xdr:colOff>
                    <xdr:row>6</xdr:row>
                    <xdr:rowOff>297180</xdr:rowOff>
                  </from>
                  <to>
                    <xdr:col>3</xdr:col>
                    <xdr:colOff>1181100</xdr:colOff>
                    <xdr:row>6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18" name="B_12">
              <controlPr defaultSize="0" autoFill="0" autoLine="0" autoPict="0">
                <anchor moveWithCells="1">
                  <from>
                    <xdr:col>3</xdr:col>
                    <xdr:colOff>144780</xdr:colOff>
                    <xdr:row>6</xdr:row>
                    <xdr:rowOff>480060</xdr:rowOff>
                  </from>
                  <to>
                    <xdr:col>3</xdr:col>
                    <xdr:colOff>1203960</xdr:colOff>
                    <xdr:row>6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19" name="B_13">
              <controlPr defaultSize="0" autoFill="0" autoLine="0" autoPict="0">
                <anchor moveWithCells="1">
                  <from>
                    <xdr:col>3</xdr:col>
                    <xdr:colOff>144780</xdr:colOff>
                    <xdr:row>6</xdr:row>
                    <xdr:rowOff>647700</xdr:rowOff>
                  </from>
                  <to>
                    <xdr:col>3</xdr:col>
                    <xdr:colOff>1203960</xdr:colOff>
                    <xdr:row>6</xdr:row>
                    <xdr:rowOff>861060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20" name="Group Box 35">
              <controlPr defaultSize="0" autoFill="0" autoPict="0">
                <anchor moveWithCells="1">
                  <from>
                    <xdr:col>3</xdr:col>
                    <xdr:colOff>83820</xdr:colOff>
                    <xdr:row>6</xdr:row>
                    <xdr:rowOff>76200</xdr:rowOff>
                  </from>
                  <to>
                    <xdr:col>3</xdr:col>
                    <xdr:colOff>2278380</xdr:colOff>
                    <xdr:row>6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21" name="B_14">
              <controlPr defaultSize="0" autoFill="0" autoLine="0" autoPict="0">
                <anchor moveWithCells="1">
                  <from>
                    <xdr:col>3</xdr:col>
                    <xdr:colOff>144780</xdr:colOff>
                    <xdr:row>7</xdr:row>
                    <xdr:rowOff>220980</xdr:rowOff>
                  </from>
                  <to>
                    <xdr:col>3</xdr:col>
                    <xdr:colOff>1203960</xdr:colOff>
                    <xdr:row>7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22" name="B_15">
              <controlPr defaultSize="0" autoFill="0" autoLine="0" autoPict="0">
                <anchor moveWithCells="1">
                  <from>
                    <xdr:col>3</xdr:col>
                    <xdr:colOff>144780</xdr:colOff>
                    <xdr:row>7</xdr:row>
                    <xdr:rowOff>426720</xdr:rowOff>
                  </from>
                  <to>
                    <xdr:col>3</xdr:col>
                    <xdr:colOff>1203960</xdr:colOff>
                    <xdr:row>7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23" name="Group Box 38">
              <controlPr defaultSize="0" autoFill="0" autoPict="0">
                <anchor moveWithCells="1">
                  <from>
                    <xdr:col>3</xdr:col>
                    <xdr:colOff>99060</xdr:colOff>
                    <xdr:row>7</xdr:row>
                    <xdr:rowOff>45720</xdr:rowOff>
                  </from>
                  <to>
                    <xdr:col>3</xdr:col>
                    <xdr:colOff>2270760</xdr:colOff>
                    <xdr:row>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24" name="B_16">
              <controlPr defaultSize="0" autoFill="0" autoLine="0" autoPict="0">
                <anchor moveWithCells="1">
                  <from>
                    <xdr:col>3</xdr:col>
                    <xdr:colOff>144780</xdr:colOff>
                    <xdr:row>8</xdr:row>
                    <xdr:rowOff>152400</xdr:rowOff>
                  </from>
                  <to>
                    <xdr:col>3</xdr:col>
                    <xdr:colOff>1973580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25" name="B_17">
              <controlPr defaultSize="0" autoFill="0" autoLine="0" autoPict="0">
                <anchor moveWithCells="1">
                  <from>
                    <xdr:col>3</xdr:col>
                    <xdr:colOff>144780</xdr:colOff>
                    <xdr:row>8</xdr:row>
                    <xdr:rowOff>327660</xdr:rowOff>
                  </from>
                  <to>
                    <xdr:col>3</xdr:col>
                    <xdr:colOff>1973580</xdr:colOff>
                    <xdr:row>8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26" name="B_18">
              <controlPr defaultSize="0" autoFill="0" autoLine="0" autoPict="0">
                <anchor moveWithCells="1">
                  <from>
                    <xdr:col>3</xdr:col>
                    <xdr:colOff>144780</xdr:colOff>
                    <xdr:row>8</xdr:row>
                    <xdr:rowOff>502920</xdr:rowOff>
                  </from>
                  <to>
                    <xdr:col>3</xdr:col>
                    <xdr:colOff>1973580</xdr:colOff>
                    <xdr:row>8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27" name="Group Box 42">
              <controlPr defaultSize="0" autoFill="0" autoPict="0">
                <anchor moveWithCells="1">
                  <from>
                    <xdr:col>3</xdr:col>
                    <xdr:colOff>106680</xdr:colOff>
                    <xdr:row>8</xdr:row>
                    <xdr:rowOff>60960</xdr:rowOff>
                  </from>
                  <to>
                    <xdr:col>3</xdr:col>
                    <xdr:colOff>2270760</xdr:colOff>
                    <xdr:row>8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8" name="B_19">
              <controlPr defaultSize="0" autoFill="0" autoLine="0" autoPict="0">
                <anchor moveWithCells="1">
                  <from>
                    <xdr:col>3</xdr:col>
                    <xdr:colOff>144780</xdr:colOff>
                    <xdr:row>9</xdr:row>
                    <xdr:rowOff>266700</xdr:rowOff>
                  </from>
                  <to>
                    <xdr:col>3</xdr:col>
                    <xdr:colOff>1203960</xdr:colOff>
                    <xdr:row>9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29" name="B_20">
              <controlPr defaultSize="0" autoFill="0" autoLine="0" autoPict="0">
                <anchor moveWithCells="1">
                  <from>
                    <xdr:col>3</xdr:col>
                    <xdr:colOff>144780</xdr:colOff>
                    <xdr:row>9</xdr:row>
                    <xdr:rowOff>487680</xdr:rowOff>
                  </from>
                  <to>
                    <xdr:col>3</xdr:col>
                    <xdr:colOff>1203960</xdr:colOff>
                    <xdr:row>9</xdr:row>
                    <xdr:rowOff>693420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30" name="Group Box 45">
              <controlPr defaultSize="0" autoFill="0" autoPict="0">
                <anchor moveWithCells="1">
                  <from>
                    <xdr:col>3</xdr:col>
                    <xdr:colOff>83820</xdr:colOff>
                    <xdr:row>9</xdr:row>
                    <xdr:rowOff>106680</xdr:rowOff>
                  </from>
                  <to>
                    <xdr:col>3</xdr:col>
                    <xdr:colOff>2255520</xdr:colOff>
                    <xdr:row>9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31" name="B_21">
              <controlPr defaultSize="0" autoFill="0" autoLine="0" autoPict="0">
                <anchor moveWithCells="1">
                  <from>
                    <xdr:col>3</xdr:col>
                    <xdr:colOff>1676400</xdr:colOff>
                    <xdr:row>4</xdr:row>
                    <xdr:rowOff>220980</xdr:rowOff>
                  </from>
                  <to>
                    <xdr:col>3</xdr:col>
                    <xdr:colOff>2118360</xdr:colOff>
                    <xdr:row>4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32" name="B_22">
              <controlPr defaultSize="0" autoFill="0" autoLine="0" autoPict="0">
                <anchor moveWithCells="1">
                  <from>
                    <xdr:col>3</xdr:col>
                    <xdr:colOff>1684020</xdr:colOff>
                    <xdr:row>5</xdr:row>
                    <xdr:rowOff>259080</xdr:rowOff>
                  </from>
                  <to>
                    <xdr:col>3</xdr:col>
                    <xdr:colOff>2141220</xdr:colOff>
                    <xdr:row>5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33" name="B_23">
              <controlPr defaultSize="0" autoFill="0" autoLine="0" autoPict="0">
                <anchor moveWithCells="1">
                  <from>
                    <xdr:col>3</xdr:col>
                    <xdr:colOff>1684020</xdr:colOff>
                    <xdr:row>6</xdr:row>
                    <xdr:rowOff>175260</xdr:rowOff>
                  </from>
                  <to>
                    <xdr:col>3</xdr:col>
                    <xdr:colOff>2049780</xdr:colOff>
                    <xdr:row>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34" name="B_24">
              <controlPr defaultSize="0" autoFill="0" autoLine="0" autoPict="0">
                <anchor moveWithCells="1">
                  <from>
                    <xdr:col>3</xdr:col>
                    <xdr:colOff>1684020</xdr:colOff>
                    <xdr:row>7</xdr:row>
                    <xdr:rowOff>220980</xdr:rowOff>
                  </from>
                  <to>
                    <xdr:col>3</xdr:col>
                    <xdr:colOff>2141220</xdr:colOff>
                    <xdr:row>7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35" name="B_25">
              <controlPr defaultSize="0" autoFill="0" autoLine="0" autoPict="0">
                <anchor moveWithCells="1">
                  <from>
                    <xdr:col>3</xdr:col>
                    <xdr:colOff>1706880</xdr:colOff>
                    <xdr:row>8</xdr:row>
                    <xdr:rowOff>152400</xdr:rowOff>
                  </from>
                  <to>
                    <xdr:col>3</xdr:col>
                    <xdr:colOff>2133600</xdr:colOff>
                    <xdr:row>8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pageSetUpPr fitToPage="1"/>
  </sheetPr>
  <dimension ref="A1:XFC25"/>
  <sheetViews>
    <sheetView showGridLines="0" showRowColHeaders="0" zoomScaleNormal="100" workbookViewId="0">
      <selection activeCell="B3" sqref="B3:K3"/>
    </sheetView>
  </sheetViews>
  <sheetFormatPr defaultColWidth="0" defaultRowHeight="14.4" zeroHeight="1" x14ac:dyDescent="0.3"/>
  <cols>
    <col min="1" max="1" width="20.6640625" style="4" customWidth="1"/>
    <col min="2" max="5" width="11.5546875" style="4" customWidth="1"/>
    <col min="6" max="6" width="13.44140625" style="4" bestFit="1" customWidth="1"/>
    <col min="7" max="11" width="11.5546875" style="4" customWidth="1"/>
    <col min="12" max="12" width="10.6640625" style="4" customWidth="1"/>
    <col min="13" max="13" width="14.33203125" hidden="1" customWidth="1"/>
    <col min="14" max="14" width="8.33203125" hidden="1" customWidth="1"/>
    <col min="15" max="15" width="8.6640625" hidden="1" customWidth="1"/>
    <col min="16" max="16" width="8" hidden="1" customWidth="1"/>
    <col min="17" max="17" width="9" hidden="1" customWidth="1"/>
    <col min="18" max="18" width="8.44140625" hidden="1" customWidth="1"/>
    <col min="19" max="19" width="8.33203125" hidden="1" customWidth="1"/>
    <col min="20" max="21" width="11.5546875" hidden="1" customWidth="1"/>
    <col min="22" max="24" width="11.5546875" hidden="1"/>
    <col min="25" max="25" width="21.5546875" hidden="1"/>
    <col min="26" max="27" width="13.44140625" hidden="1"/>
    <col min="28" max="16383" width="11.5546875" hidden="1"/>
    <col min="16384" max="16384" width="3.109375" hidden="1"/>
  </cols>
  <sheetData>
    <row r="1" spans="1:25" x14ac:dyDescent="0.3"/>
    <row r="2" spans="1:25" x14ac:dyDescent="0.3"/>
    <row r="3" spans="1:25" x14ac:dyDescent="0.3">
      <c r="B3" s="209" t="s">
        <v>418</v>
      </c>
      <c r="C3" s="210"/>
      <c r="D3" s="210"/>
      <c r="E3" s="210"/>
      <c r="F3" s="210"/>
      <c r="G3" s="211"/>
      <c r="H3" s="211"/>
      <c r="I3" s="211"/>
      <c r="J3" s="211"/>
      <c r="K3" s="212"/>
      <c r="M3" s="14"/>
      <c r="N3" s="14"/>
      <c r="O3" s="14"/>
      <c r="P3" s="13"/>
      <c r="Q3" s="13"/>
      <c r="R3" s="13"/>
      <c r="S3" s="13"/>
      <c r="T3" s="13"/>
      <c r="U3" s="13"/>
    </row>
    <row r="4" spans="1:25" ht="28.95" customHeight="1" x14ac:dyDescent="0.3">
      <c r="B4" s="108">
        <v>12</v>
      </c>
      <c r="C4" s="215" t="s">
        <v>429</v>
      </c>
      <c r="D4" s="216"/>
      <c r="E4" s="216"/>
      <c r="F4" s="216"/>
      <c r="G4" s="216"/>
      <c r="H4" s="216"/>
      <c r="I4" s="216"/>
      <c r="J4" s="216"/>
      <c r="K4" s="217"/>
      <c r="M4" s="13"/>
      <c r="N4" s="13"/>
      <c r="O4" s="13"/>
      <c r="P4" s="13"/>
      <c r="Q4" s="13"/>
      <c r="R4" s="13"/>
      <c r="S4" s="13"/>
      <c r="T4" s="13"/>
      <c r="U4" s="13"/>
    </row>
    <row r="5" spans="1:25" x14ac:dyDescent="0.3">
      <c r="B5" s="218"/>
      <c r="C5" s="214" t="s">
        <v>403</v>
      </c>
      <c r="D5" s="214"/>
      <c r="E5" s="213" t="s">
        <v>408</v>
      </c>
      <c r="F5" s="213"/>
      <c r="G5" s="213"/>
      <c r="H5" s="213" t="s">
        <v>404</v>
      </c>
      <c r="I5" s="213"/>
      <c r="J5" s="213"/>
      <c r="K5" s="213"/>
      <c r="M5" s="41"/>
      <c r="N5" s="13"/>
      <c r="O5" s="13"/>
      <c r="P5" s="13"/>
      <c r="Q5" s="13"/>
      <c r="R5" s="13"/>
      <c r="S5" s="13"/>
      <c r="T5" s="13"/>
      <c r="U5" s="13"/>
    </row>
    <row r="6" spans="1:25" ht="39" customHeight="1" x14ac:dyDescent="0.3">
      <c r="B6" s="218"/>
      <c r="C6" s="109" t="s">
        <v>326</v>
      </c>
      <c r="D6" s="109" t="s">
        <v>399</v>
      </c>
      <c r="E6" s="109" t="s">
        <v>405</v>
      </c>
      <c r="F6" s="109" t="s">
        <v>406</v>
      </c>
      <c r="G6" s="109" t="s">
        <v>407</v>
      </c>
      <c r="H6" s="110" t="s">
        <v>424</v>
      </c>
      <c r="I6" s="109" t="s">
        <v>400</v>
      </c>
      <c r="J6" s="110" t="s">
        <v>401</v>
      </c>
      <c r="K6" s="109" t="s">
        <v>402</v>
      </c>
      <c r="M6" s="42" t="s">
        <v>48</v>
      </c>
      <c r="N6" s="43" t="s">
        <v>49</v>
      </c>
      <c r="O6" s="53" t="s">
        <v>50</v>
      </c>
      <c r="P6" s="43" t="s">
        <v>51</v>
      </c>
      <c r="Q6" s="43" t="s">
        <v>52</v>
      </c>
      <c r="R6" s="43" t="s">
        <v>53</v>
      </c>
      <c r="S6" s="43" t="s">
        <v>54</v>
      </c>
      <c r="T6" s="14" t="s">
        <v>104</v>
      </c>
      <c r="U6" s="13">
        <v>0.3</v>
      </c>
      <c r="V6" s="2"/>
    </row>
    <row r="7" spans="1:25" ht="43.95" customHeight="1" x14ac:dyDescent="0.3">
      <c r="A7" s="111"/>
      <c r="B7" s="112" t="s">
        <v>66</v>
      </c>
      <c r="C7" s="213"/>
      <c r="D7" s="213"/>
      <c r="E7" s="213"/>
      <c r="F7" s="213"/>
      <c r="G7" s="213"/>
      <c r="H7" s="213"/>
      <c r="I7" s="213"/>
      <c r="J7" s="213"/>
      <c r="K7" s="213"/>
      <c r="L7" s="111"/>
      <c r="M7" s="26" t="s">
        <v>40</v>
      </c>
      <c r="N7" s="13">
        <v>0</v>
      </c>
      <c r="O7" s="13" t="b">
        <f>IF(N7=1,0,IF(N7=2,1))</f>
        <v>0</v>
      </c>
      <c r="P7" s="13">
        <v>0</v>
      </c>
      <c r="Q7" s="15">
        <f t="shared" ref="Q7:Q15" si="0">IF(P7=1,0.3,IF(P7=2,0.1,IF(P7=3,0.03,)))</f>
        <v>0</v>
      </c>
      <c r="R7" s="13">
        <v>0</v>
      </c>
      <c r="S7" s="15" t="b">
        <f>IF(R7=1,0.3,IF(R7=2,1,IF(R7=3,3,IF(R7=4,10))))</f>
        <v>0</v>
      </c>
      <c r="T7" s="14" t="s">
        <v>102</v>
      </c>
      <c r="U7" s="13">
        <f>IF(O7=1,Q7*S7*$U$6,1)</f>
        <v>1</v>
      </c>
    </row>
    <row r="8" spans="1:25" ht="40.200000000000003" customHeight="1" x14ac:dyDescent="0.3">
      <c r="B8" s="112" t="s">
        <v>354</v>
      </c>
      <c r="C8" s="213"/>
      <c r="D8" s="213"/>
      <c r="E8" s="213"/>
      <c r="F8" s="213"/>
      <c r="G8" s="213"/>
      <c r="H8" s="213"/>
      <c r="I8" s="213"/>
      <c r="J8" s="213"/>
      <c r="K8" s="213"/>
      <c r="M8" s="26" t="s">
        <v>41</v>
      </c>
      <c r="N8" s="13">
        <v>0</v>
      </c>
      <c r="O8" s="13" t="b">
        <f t="shared" ref="O8:O15" si="1">IF(N8=1,0,IF(N8=2,1))</f>
        <v>0</v>
      </c>
      <c r="P8" s="13">
        <v>0</v>
      </c>
      <c r="Q8" s="15">
        <f t="shared" si="0"/>
        <v>0</v>
      </c>
      <c r="R8" s="13">
        <v>0</v>
      </c>
      <c r="S8" s="15" t="b">
        <f t="shared" ref="S8:S15" si="2">IF(R8=1,0.3,IF(R8=2,1,IF(R8=3,3,IF(R8=4,10))))</f>
        <v>0</v>
      </c>
      <c r="T8" s="14" t="s">
        <v>103</v>
      </c>
      <c r="U8" s="13">
        <f t="shared" ref="U8:U13" si="3">IF(O8=1,Q8*S8*$U$6,1)</f>
        <v>1</v>
      </c>
    </row>
    <row r="9" spans="1:25" ht="40.200000000000003" customHeight="1" x14ac:dyDescent="0.3">
      <c r="B9" s="112" t="s">
        <v>355</v>
      </c>
      <c r="C9" s="213"/>
      <c r="D9" s="213"/>
      <c r="E9" s="213"/>
      <c r="F9" s="213"/>
      <c r="G9" s="213"/>
      <c r="H9" s="213"/>
      <c r="I9" s="213"/>
      <c r="J9" s="213"/>
      <c r="K9" s="213"/>
      <c r="M9" s="26" t="s">
        <v>42</v>
      </c>
      <c r="N9" s="13">
        <v>0</v>
      </c>
      <c r="O9" s="13" t="b">
        <f t="shared" si="1"/>
        <v>0</v>
      </c>
      <c r="P9" s="13">
        <v>0</v>
      </c>
      <c r="Q9" s="15">
        <f t="shared" si="0"/>
        <v>0</v>
      </c>
      <c r="R9" s="13">
        <v>0</v>
      </c>
      <c r="S9" s="15" t="b">
        <f t="shared" si="2"/>
        <v>0</v>
      </c>
      <c r="T9" s="14" t="s">
        <v>105</v>
      </c>
      <c r="U9" s="13">
        <f>IF(O9=1,Q9*S9*$U$6,1)</f>
        <v>1</v>
      </c>
    </row>
    <row r="10" spans="1:25" ht="40.200000000000003" customHeight="1" x14ac:dyDescent="0.3">
      <c r="B10" s="112" t="s">
        <v>361</v>
      </c>
      <c r="C10" s="213"/>
      <c r="D10" s="213"/>
      <c r="E10" s="213"/>
      <c r="F10" s="213"/>
      <c r="G10" s="213"/>
      <c r="H10" s="213"/>
      <c r="I10" s="213"/>
      <c r="J10" s="213"/>
      <c r="K10" s="213"/>
      <c r="M10" s="26" t="s">
        <v>43</v>
      </c>
      <c r="N10" s="13">
        <v>0</v>
      </c>
      <c r="O10" s="13" t="b">
        <f t="shared" si="1"/>
        <v>0</v>
      </c>
      <c r="P10" s="13">
        <v>0</v>
      </c>
      <c r="Q10" s="15">
        <f t="shared" si="0"/>
        <v>0</v>
      </c>
      <c r="R10" s="13">
        <v>0</v>
      </c>
      <c r="S10" s="15" t="b">
        <f t="shared" si="2"/>
        <v>0</v>
      </c>
      <c r="T10" s="14" t="s">
        <v>110</v>
      </c>
      <c r="U10" s="13">
        <f t="shared" si="3"/>
        <v>1</v>
      </c>
    </row>
    <row r="11" spans="1:25" ht="40.200000000000003" customHeight="1" x14ac:dyDescent="0.3">
      <c r="B11" s="112" t="s">
        <v>357</v>
      </c>
      <c r="C11" s="213"/>
      <c r="D11" s="213"/>
      <c r="E11" s="213"/>
      <c r="F11" s="213"/>
      <c r="G11" s="213"/>
      <c r="H11" s="213"/>
      <c r="I11" s="213"/>
      <c r="J11" s="213"/>
      <c r="K11" s="213"/>
      <c r="M11" s="26" t="s">
        <v>44</v>
      </c>
      <c r="N11" s="13">
        <v>0</v>
      </c>
      <c r="O11" s="13" t="b">
        <f t="shared" si="1"/>
        <v>0</v>
      </c>
      <c r="P11" s="13">
        <v>0</v>
      </c>
      <c r="Q11" s="15">
        <f t="shared" si="0"/>
        <v>0</v>
      </c>
      <c r="R11" s="13">
        <v>0</v>
      </c>
      <c r="S11" s="15" t="b">
        <f t="shared" si="2"/>
        <v>0</v>
      </c>
      <c r="T11" s="14" t="s">
        <v>109</v>
      </c>
      <c r="U11" s="13">
        <f t="shared" si="3"/>
        <v>1</v>
      </c>
    </row>
    <row r="12" spans="1:25" ht="40.200000000000003" customHeight="1" x14ac:dyDescent="0.3">
      <c r="B12" s="112" t="s">
        <v>358</v>
      </c>
      <c r="C12" s="213"/>
      <c r="D12" s="213"/>
      <c r="E12" s="213"/>
      <c r="F12" s="213"/>
      <c r="G12" s="213"/>
      <c r="H12" s="213"/>
      <c r="I12" s="213"/>
      <c r="J12" s="213"/>
      <c r="K12" s="213"/>
      <c r="M12" s="16" t="s">
        <v>45</v>
      </c>
      <c r="N12" s="13">
        <v>0</v>
      </c>
      <c r="O12" s="13" t="b">
        <f t="shared" si="1"/>
        <v>0</v>
      </c>
      <c r="P12" s="13">
        <v>0</v>
      </c>
      <c r="Q12" s="15">
        <f t="shared" si="0"/>
        <v>0</v>
      </c>
      <c r="R12" s="13">
        <v>0</v>
      </c>
      <c r="S12" s="15" t="b">
        <f t="shared" si="2"/>
        <v>0</v>
      </c>
      <c r="T12" s="14" t="s">
        <v>108</v>
      </c>
      <c r="U12" s="13">
        <f t="shared" si="3"/>
        <v>1</v>
      </c>
    </row>
    <row r="13" spans="1:25" ht="40.200000000000003" customHeight="1" x14ac:dyDescent="0.3">
      <c r="B13" s="112" t="s">
        <v>359</v>
      </c>
      <c r="C13" s="213"/>
      <c r="D13" s="213"/>
      <c r="E13" s="213"/>
      <c r="F13" s="213"/>
      <c r="G13" s="213"/>
      <c r="H13" s="213"/>
      <c r="I13" s="213"/>
      <c r="J13" s="213"/>
      <c r="K13" s="213"/>
      <c r="M13" s="26" t="s">
        <v>46</v>
      </c>
      <c r="N13" s="13">
        <v>0</v>
      </c>
      <c r="O13" s="13" t="b">
        <f t="shared" si="1"/>
        <v>0</v>
      </c>
      <c r="P13" s="13">
        <v>0</v>
      </c>
      <c r="Q13" s="15">
        <f t="shared" si="0"/>
        <v>0</v>
      </c>
      <c r="R13" s="13">
        <v>0</v>
      </c>
      <c r="S13" s="15" t="b">
        <f t="shared" si="2"/>
        <v>0</v>
      </c>
      <c r="T13" s="14" t="s">
        <v>107</v>
      </c>
      <c r="U13" s="13">
        <f t="shared" si="3"/>
        <v>1</v>
      </c>
    </row>
    <row r="14" spans="1:25" ht="40.200000000000003" customHeight="1" x14ac:dyDescent="0.3">
      <c r="B14" s="213"/>
      <c r="C14" s="213"/>
      <c r="D14" s="213"/>
      <c r="E14" s="99" t="s">
        <v>409</v>
      </c>
      <c r="F14" s="99" t="s">
        <v>410</v>
      </c>
      <c r="G14" s="99" t="s">
        <v>411</v>
      </c>
      <c r="H14" s="99" t="s">
        <v>412</v>
      </c>
      <c r="I14" s="99" t="s">
        <v>413</v>
      </c>
      <c r="J14" s="99" t="s">
        <v>414</v>
      </c>
      <c r="K14" s="99" t="s">
        <v>415</v>
      </c>
      <c r="M14" s="26"/>
      <c r="N14" s="13"/>
      <c r="O14" s="13"/>
      <c r="P14" s="13"/>
      <c r="Q14" s="15"/>
      <c r="R14" s="13"/>
      <c r="S14" s="15"/>
      <c r="T14" s="28"/>
      <c r="U14" s="13"/>
    </row>
    <row r="15" spans="1:25" ht="40.200000000000003" customHeight="1" x14ac:dyDescent="0.3">
      <c r="B15" s="112" t="s">
        <v>69</v>
      </c>
      <c r="C15" s="213"/>
      <c r="D15" s="219"/>
      <c r="E15" s="113"/>
      <c r="F15" s="114"/>
      <c r="G15" s="115"/>
      <c r="H15" s="114"/>
      <c r="I15" s="114"/>
      <c r="J15" s="114"/>
      <c r="K15" s="115"/>
      <c r="L15" s="59"/>
      <c r="M15" s="26" t="s">
        <v>47</v>
      </c>
      <c r="N15" s="40">
        <v>0</v>
      </c>
      <c r="O15" s="40" t="b">
        <f t="shared" si="1"/>
        <v>0</v>
      </c>
      <c r="P15" s="40">
        <v>0</v>
      </c>
      <c r="Q15" s="36">
        <f t="shared" si="0"/>
        <v>0</v>
      </c>
      <c r="R15" s="40">
        <v>0</v>
      </c>
      <c r="S15" s="36" t="b">
        <f t="shared" si="2"/>
        <v>0</v>
      </c>
      <c r="T15" s="29" t="s">
        <v>106</v>
      </c>
      <c r="U15" s="40">
        <f>IF(O15=1,Q15*S15*$U$6,1)</f>
        <v>1</v>
      </c>
      <c r="Y15" s="1"/>
    </row>
    <row r="16" spans="1:25" x14ac:dyDescent="0.3"/>
    <row r="17" spans="10:10" ht="26.25" customHeight="1" x14ac:dyDescent="0.3"/>
    <row r="18" spans="10:10" hidden="1" x14ac:dyDescent="0.3">
      <c r="J18" s="5"/>
    </row>
    <row r="19" spans="10:10" hidden="1" x14ac:dyDescent="0.3">
      <c r="J19" s="5"/>
    </row>
    <row r="20" spans="10:10" hidden="1" x14ac:dyDescent="0.3">
      <c r="J20" s="5"/>
    </row>
    <row r="21" spans="10:10" hidden="1" x14ac:dyDescent="0.3">
      <c r="J21" s="5"/>
    </row>
    <row r="22" spans="10:10" hidden="1" x14ac:dyDescent="0.3">
      <c r="J22" s="5"/>
    </row>
    <row r="23" spans="10:10" hidden="1" x14ac:dyDescent="0.3">
      <c r="J23" s="5"/>
    </row>
    <row r="24" spans="10:10" hidden="1" x14ac:dyDescent="0.3">
      <c r="J24" s="3"/>
    </row>
    <row r="25" spans="10:10" x14ac:dyDescent="0.3"/>
  </sheetData>
  <sheetProtection algorithmName="SHA-512" hashValue="MBraT77QP8G6JE6BLrtIL+u0n7xLxMsrKVpvtJ4pHycEQAoCAZonqLBOdoFbu/VjFyA/3qRLMRytU1/qR/Z8bg==" saltValue="In96w1toG1vL8zFkgeNabg==" spinCount="100000" sheet="1" selectLockedCells="1"/>
  <mergeCells count="29">
    <mergeCell ref="B5:B6"/>
    <mergeCell ref="C15:D15"/>
    <mergeCell ref="E7:G7"/>
    <mergeCell ref="E8:G8"/>
    <mergeCell ref="E9:G9"/>
    <mergeCell ref="E10:G10"/>
    <mergeCell ref="E11:G11"/>
    <mergeCell ref="E12:G12"/>
    <mergeCell ref="E13:G13"/>
    <mergeCell ref="C7:D7"/>
    <mergeCell ref="C8:D8"/>
    <mergeCell ref="C9:D9"/>
    <mergeCell ref="B14:D14"/>
    <mergeCell ref="B3:K3"/>
    <mergeCell ref="H11:K11"/>
    <mergeCell ref="H12:K12"/>
    <mergeCell ref="H13:K13"/>
    <mergeCell ref="H5:K5"/>
    <mergeCell ref="H7:K7"/>
    <mergeCell ref="H8:K8"/>
    <mergeCell ref="H9:K9"/>
    <mergeCell ref="H10:K10"/>
    <mergeCell ref="C10:D10"/>
    <mergeCell ref="C11:D11"/>
    <mergeCell ref="C12:D12"/>
    <mergeCell ref="C13:D13"/>
    <mergeCell ref="C5:D5"/>
    <mergeCell ref="C4:K4"/>
    <mergeCell ref="E5:G5"/>
  </mergeCells>
  <pageMargins left="0.7" right="0.7" top="0.75" bottom="0.75" header="0.3" footer="0.3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Group Box 1">
              <controlPr defaultSize="0" autoFill="0" autoPict="0">
                <anchor moveWithCells="1">
                  <from>
                    <xdr:col>2</xdr:col>
                    <xdr:colOff>76200</xdr:colOff>
                    <xdr:row>6</xdr:row>
                    <xdr:rowOff>38100</xdr:rowOff>
                  </from>
                  <to>
                    <xdr:col>3</xdr:col>
                    <xdr:colOff>708660</xdr:colOff>
                    <xdr:row>6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_1">
              <controlPr defaultSize="0" autoFill="0" autoLine="0" autoPict="0">
                <anchor moveWithCells="1">
                  <from>
                    <xdr:col>2</xdr:col>
                    <xdr:colOff>312420</xdr:colOff>
                    <xdr:row>6</xdr:row>
                    <xdr:rowOff>76200</xdr:rowOff>
                  </from>
                  <to>
                    <xdr:col>2</xdr:col>
                    <xdr:colOff>541020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6" name="B_2">
              <controlPr defaultSize="0" autoFill="0" autoLine="0" autoPict="0">
                <anchor moveWithCells="1">
                  <from>
                    <xdr:col>3</xdr:col>
                    <xdr:colOff>304800</xdr:colOff>
                    <xdr:row>6</xdr:row>
                    <xdr:rowOff>121920</xdr:rowOff>
                  </from>
                  <to>
                    <xdr:col>3</xdr:col>
                    <xdr:colOff>525780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7" name="Group Box 6">
              <controlPr defaultSize="0" autoFill="0" autoPict="0">
                <anchor moveWithCells="1">
                  <from>
                    <xdr:col>2</xdr:col>
                    <xdr:colOff>76200</xdr:colOff>
                    <xdr:row>7</xdr:row>
                    <xdr:rowOff>45720</xdr:rowOff>
                  </from>
                  <to>
                    <xdr:col>3</xdr:col>
                    <xdr:colOff>708660</xdr:colOff>
                    <xdr:row>7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8" name="B_10">
              <controlPr defaultSize="0" autoFill="0" autoLine="0" autoPict="0">
                <anchor moveWithCells="1">
                  <from>
                    <xdr:col>2</xdr:col>
                    <xdr:colOff>312420</xdr:colOff>
                    <xdr:row>7</xdr:row>
                    <xdr:rowOff>137160</xdr:rowOff>
                  </from>
                  <to>
                    <xdr:col>2</xdr:col>
                    <xdr:colOff>518160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9" name="B_11">
              <controlPr defaultSize="0" autoFill="0" autoLine="0" autoPict="0">
                <anchor moveWithCells="1">
                  <from>
                    <xdr:col>3</xdr:col>
                    <xdr:colOff>304800</xdr:colOff>
                    <xdr:row>7</xdr:row>
                    <xdr:rowOff>175260</xdr:rowOff>
                  </from>
                  <to>
                    <xdr:col>3</xdr:col>
                    <xdr:colOff>525780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0" name="Group Box 9">
              <controlPr defaultSize="0" autoFill="0" autoPict="0">
                <anchor moveWithCells="1">
                  <from>
                    <xdr:col>2</xdr:col>
                    <xdr:colOff>76200</xdr:colOff>
                    <xdr:row>8</xdr:row>
                    <xdr:rowOff>38100</xdr:rowOff>
                  </from>
                  <to>
                    <xdr:col>3</xdr:col>
                    <xdr:colOff>708660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1" name="B_19">
              <controlPr defaultSize="0" autoFill="0" autoLine="0" autoPict="0">
                <anchor moveWithCells="1">
                  <from>
                    <xdr:col>2</xdr:col>
                    <xdr:colOff>312420</xdr:colOff>
                    <xdr:row>8</xdr:row>
                    <xdr:rowOff>137160</xdr:rowOff>
                  </from>
                  <to>
                    <xdr:col>2</xdr:col>
                    <xdr:colOff>518160</xdr:colOff>
                    <xdr:row>8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2" name="B_20">
              <controlPr defaultSize="0" autoFill="0" autoLine="0" autoPict="0">
                <anchor moveWithCells="1">
                  <from>
                    <xdr:col>3</xdr:col>
                    <xdr:colOff>304800</xdr:colOff>
                    <xdr:row>8</xdr:row>
                    <xdr:rowOff>175260</xdr:rowOff>
                  </from>
                  <to>
                    <xdr:col>3</xdr:col>
                    <xdr:colOff>525780</xdr:colOff>
                    <xdr:row>8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3" name="Group Box 12">
              <controlPr defaultSize="0" autoFill="0" autoPict="0">
                <anchor moveWithCells="1">
                  <from>
                    <xdr:col>2</xdr:col>
                    <xdr:colOff>83820</xdr:colOff>
                    <xdr:row>9</xdr:row>
                    <xdr:rowOff>38100</xdr:rowOff>
                  </from>
                  <to>
                    <xdr:col>3</xdr:col>
                    <xdr:colOff>716280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4" name="B_28">
              <controlPr defaultSize="0" autoFill="0" autoLine="0" autoPict="0">
                <anchor moveWithCells="1">
                  <from>
                    <xdr:col>2</xdr:col>
                    <xdr:colOff>327660</xdr:colOff>
                    <xdr:row>9</xdr:row>
                    <xdr:rowOff>137160</xdr:rowOff>
                  </from>
                  <to>
                    <xdr:col>2</xdr:col>
                    <xdr:colOff>518160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5" name="B_29">
              <controlPr defaultSize="0" autoFill="0" autoLine="0" autoPict="0">
                <anchor moveWithCells="1">
                  <from>
                    <xdr:col>3</xdr:col>
                    <xdr:colOff>312420</xdr:colOff>
                    <xdr:row>9</xdr:row>
                    <xdr:rowOff>175260</xdr:rowOff>
                  </from>
                  <to>
                    <xdr:col>3</xdr:col>
                    <xdr:colOff>533400</xdr:colOff>
                    <xdr:row>9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6" name="Group Box 15">
              <controlPr defaultSize="0" autoFill="0" autoPict="0">
                <anchor moveWithCells="1">
                  <from>
                    <xdr:col>2</xdr:col>
                    <xdr:colOff>99060</xdr:colOff>
                    <xdr:row>10</xdr:row>
                    <xdr:rowOff>38100</xdr:rowOff>
                  </from>
                  <to>
                    <xdr:col>3</xdr:col>
                    <xdr:colOff>723900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7" name="B_37">
              <controlPr defaultSize="0" autoFill="0" autoLine="0" autoPict="0">
                <anchor moveWithCells="1">
                  <from>
                    <xdr:col>2</xdr:col>
                    <xdr:colOff>327660</xdr:colOff>
                    <xdr:row>10</xdr:row>
                    <xdr:rowOff>137160</xdr:rowOff>
                  </from>
                  <to>
                    <xdr:col>2</xdr:col>
                    <xdr:colOff>525780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8" name="B_38">
              <controlPr defaultSize="0" autoFill="0" autoLine="0" autoPict="0">
                <anchor moveWithCells="1">
                  <from>
                    <xdr:col>3</xdr:col>
                    <xdr:colOff>327660</xdr:colOff>
                    <xdr:row>10</xdr:row>
                    <xdr:rowOff>175260</xdr:rowOff>
                  </from>
                  <to>
                    <xdr:col>3</xdr:col>
                    <xdr:colOff>541020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19" name="Group Box 18">
              <controlPr defaultSize="0" autoFill="0" autoPict="0">
                <anchor moveWithCells="1">
                  <from>
                    <xdr:col>2</xdr:col>
                    <xdr:colOff>99060</xdr:colOff>
                    <xdr:row>11</xdr:row>
                    <xdr:rowOff>38100</xdr:rowOff>
                  </from>
                  <to>
                    <xdr:col>3</xdr:col>
                    <xdr:colOff>723900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0" name="B_46">
              <controlPr defaultSize="0" autoFill="0" autoLine="0" autoPict="0">
                <anchor moveWithCells="1">
                  <from>
                    <xdr:col>2</xdr:col>
                    <xdr:colOff>327660</xdr:colOff>
                    <xdr:row>11</xdr:row>
                    <xdr:rowOff>137160</xdr:rowOff>
                  </from>
                  <to>
                    <xdr:col>2</xdr:col>
                    <xdr:colOff>525780</xdr:colOff>
                    <xdr:row>11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1" name="B_47">
              <controlPr defaultSize="0" autoFill="0" autoLine="0" autoPict="0">
                <anchor moveWithCells="1">
                  <from>
                    <xdr:col>3</xdr:col>
                    <xdr:colOff>327660</xdr:colOff>
                    <xdr:row>11</xdr:row>
                    <xdr:rowOff>175260</xdr:rowOff>
                  </from>
                  <to>
                    <xdr:col>3</xdr:col>
                    <xdr:colOff>541020</xdr:colOff>
                    <xdr:row>11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2" name="Group Box 21">
              <controlPr defaultSize="0" autoFill="0" autoPict="0">
                <anchor moveWithCells="1">
                  <from>
                    <xdr:col>2</xdr:col>
                    <xdr:colOff>83820</xdr:colOff>
                    <xdr:row>12</xdr:row>
                    <xdr:rowOff>38100</xdr:rowOff>
                  </from>
                  <to>
                    <xdr:col>3</xdr:col>
                    <xdr:colOff>716280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3" name="B_55">
              <controlPr defaultSize="0" autoFill="0" autoLine="0" autoPict="0">
                <anchor moveWithCells="1">
                  <from>
                    <xdr:col>2</xdr:col>
                    <xdr:colOff>327660</xdr:colOff>
                    <xdr:row>12</xdr:row>
                    <xdr:rowOff>137160</xdr:rowOff>
                  </from>
                  <to>
                    <xdr:col>2</xdr:col>
                    <xdr:colOff>518160</xdr:colOff>
                    <xdr:row>12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4" name="B_56">
              <controlPr defaultSize="0" autoFill="0" autoLine="0" autoPict="0">
                <anchor moveWithCells="1">
                  <from>
                    <xdr:col>3</xdr:col>
                    <xdr:colOff>312420</xdr:colOff>
                    <xdr:row>12</xdr:row>
                    <xdr:rowOff>175260</xdr:rowOff>
                  </from>
                  <to>
                    <xdr:col>3</xdr:col>
                    <xdr:colOff>533400</xdr:colOff>
                    <xdr:row>12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5" name="Group Box 24">
              <controlPr defaultSize="0" autoFill="0" autoPict="0">
                <anchor moveWithCells="1">
                  <from>
                    <xdr:col>2</xdr:col>
                    <xdr:colOff>83820</xdr:colOff>
                    <xdr:row>14</xdr:row>
                    <xdr:rowOff>38100</xdr:rowOff>
                  </from>
                  <to>
                    <xdr:col>3</xdr:col>
                    <xdr:colOff>716280</xdr:colOff>
                    <xdr:row>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6" name="B_64">
              <controlPr defaultSize="0" autoFill="0" autoLine="0" autoPict="0">
                <anchor moveWithCells="1">
                  <from>
                    <xdr:col>2</xdr:col>
                    <xdr:colOff>327660</xdr:colOff>
                    <xdr:row>14</xdr:row>
                    <xdr:rowOff>137160</xdr:rowOff>
                  </from>
                  <to>
                    <xdr:col>2</xdr:col>
                    <xdr:colOff>518160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7" name="B_65">
              <controlPr defaultSize="0" autoFill="0" autoLine="0" autoPict="0">
                <anchor moveWithCells="1">
                  <from>
                    <xdr:col>3</xdr:col>
                    <xdr:colOff>312420</xdr:colOff>
                    <xdr:row>14</xdr:row>
                    <xdr:rowOff>175260</xdr:rowOff>
                  </from>
                  <to>
                    <xdr:col>3</xdr:col>
                    <xdr:colOff>533400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8" name="B_3">
              <controlPr defaultSize="0" autoFill="0" autoLine="0" autoPict="0">
                <anchor moveWithCells="1">
                  <from>
                    <xdr:col>4</xdr:col>
                    <xdr:colOff>304800</xdr:colOff>
                    <xdr:row>6</xdr:row>
                    <xdr:rowOff>121920</xdr:rowOff>
                  </from>
                  <to>
                    <xdr:col>4</xdr:col>
                    <xdr:colOff>525780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9" name="B_4">
              <controlPr defaultSize="0" autoFill="0" autoLine="0" autoPict="0">
                <anchor moveWithCells="1">
                  <from>
                    <xdr:col>5</xdr:col>
                    <xdr:colOff>388620</xdr:colOff>
                    <xdr:row>6</xdr:row>
                    <xdr:rowOff>99060</xdr:rowOff>
                  </from>
                  <to>
                    <xdr:col>5</xdr:col>
                    <xdr:colOff>594360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0" name="B_5">
              <controlPr defaultSize="0" autoFill="0" autoLine="0" autoPict="0">
                <anchor moveWithCells="1">
                  <from>
                    <xdr:col>6</xdr:col>
                    <xdr:colOff>342900</xdr:colOff>
                    <xdr:row>6</xdr:row>
                    <xdr:rowOff>68580</xdr:rowOff>
                  </from>
                  <to>
                    <xdr:col>6</xdr:col>
                    <xdr:colOff>594360</xdr:colOff>
                    <xdr:row>6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1" name="Group Box 30">
              <controlPr defaultSize="0" autoFill="0" autoPict="0">
                <anchor moveWithCells="1">
                  <from>
                    <xdr:col>4</xdr:col>
                    <xdr:colOff>60960</xdr:colOff>
                    <xdr:row>6</xdr:row>
                    <xdr:rowOff>45720</xdr:rowOff>
                  </from>
                  <to>
                    <xdr:col>6</xdr:col>
                    <xdr:colOff>723900</xdr:colOff>
                    <xdr:row>6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2" name="B_12">
              <controlPr defaultSize="0" autoFill="0" autoLine="0" autoPict="0">
                <anchor moveWithCells="1">
                  <from>
                    <xdr:col>4</xdr:col>
                    <xdr:colOff>304800</xdr:colOff>
                    <xdr:row>7</xdr:row>
                    <xdr:rowOff>175260</xdr:rowOff>
                  </from>
                  <to>
                    <xdr:col>4</xdr:col>
                    <xdr:colOff>487680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3" name="B_13">
              <controlPr defaultSize="0" autoFill="0" autoLine="0" autoPict="0">
                <anchor moveWithCells="1">
                  <from>
                    <xdr:col>5</xdr:col>
                    <xdr:colOff>388620</xdr:colOff>
                    <xdr:row>7</xdr:row>
                    <xdr:rowOff>175260</xdr:rowOff>
                  </from>
                  <to>
                    <xdr:col>5</xdr:col>
                    <xdr:colOff>571500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4" name="B_14">
              <controlPr defaultSize="0" autoFill="0" autoLine="0" autoPict="0">
                <anchor moveWithCells="1">
                  <from>
                    <xdr:col>6</xdr:col>
                    <xdr:colOff>342900</xdr:colOff>
                    <xdr:row>7</xdr:row>
                    <xdr:rowOff>175260</xdr:rowOff>
                  </from>
                  <to>
                    <xdr:col>6</xdr:col>
                    <xdr:colOff>525780</xdr:colOff>
                    <xdr:row>7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5" name="Group Box 34">
              <controlPr defaultSize="0" autoFill="0" autoPict="0">
                <anchor moveWithCells="1">
                  <from>
                    <xdr:col>4</xdr:col>
                    <xdr:colOff>60960</xdr:colOff>
                    <xdr:row>7</xdr:row>
                    <xdr:rowOff>60960</xdr:rowOff>
                  </from>
                  <to>
                    <xdr:col>6</xdr:col>
                    <xdr:colOff>723900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6" name="B_21">
              <controlPr defaultSize="0" autoFill="0" autoLine="0" autoPict="0">
                <anchor moveWithCells="1">
                  <from>
                    <xdr:col>4</xdr:col>
                    <xdr:colOff>304800</xdr:colOff>
                    <xdr:row>8</xdr:row>
                    <xdr:rowOff>175260</xdr:rowOff>
                  </from>
                  <to>
                    <xdr:col>4</xdr:col>
                    <xdr:colOff>487680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7" name="B_22">
              <controlPr defaultSize="0" autoFill="0" autoLine="0" autoPict="0">
                <anchor moveWithCells="1">
                  <from>
                    <xdr:col>5</xdr:col>
                    <xdr:colOff>388620</xdr:colOff>
                    <xdr:row>8</xdr:row>
                    <xdr:rowOff>175260</xdr:rowOff>
                  </from>
                  <to>
                    <xdr:col>5</xdr:col>
                    <xdr:colOff>571500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8" name="B_23">
              <controlPr defaultSize="0" autoFill="0" autoLine="0" autoPict="0">
                <anchor moveWithCells="1">
                  <from>
                    <xdr:col>6</xdr:col>
                    <xdr:colOff>342900</xdr:colOff>
                    <xdr:row>8</xdr:row>
                    <xdr:rowOff>175260</xdr:rowOff>
                  </from>
                  <to>
                    <xdr:col>6</xdr:col>
                    <xdr:colOff>525780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39" name="Group Box 38">
              <controlPr defaultSize="0" autoFill="0" autoPict="0">
                <anchor moveWithCells="1">
                  <from>
                    <xdr:col>4</xdr:col>
                    <xdr:colOff>60960</xdr:colOff>
                    <xdr:row>8</xdr:row>
                    <xdr:rowOff>60960</xdr:rowOff>
                  </from>
                  <to>
                    <xdr:col>6</xdr:col>
                    <xdr:colOff>723900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0" name="B_30">
              <controlPr defaultSize="0" autoFill="0" autoLine="0" autoPict="0">
                <anchor moveWithCells="1">
                  <from>
                    <xdr:col>4</xdr:col>
                    <xdr:colOff>304800</xdr:colOff>
                    <xdr:row>9</xdr:row>
                    <xdr:rowOff>175260</xdr:rowOff>
                  </from>
                  <to>
                    <xdr:col>4</xdr:col>
                    <xdr:colOff>487680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1" name="B_31">
              <controlPr defaultSize="0" autoFill="0" autoLine="0" autoPict="0">
                <anchor moveWithCells="1">
                  <from>
                    <xdr:col>5</xdr:col>
                    <xdr:colOff>388620</xdr:colOff>
                    <xdr:row>9</xdr:row>
                    <xdr:rowOff>175260</xdr:rowOff>
                  </from>
                  <to>
                    <xdr:col>5</xdr:col>
                    <xdr:colOff>571500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2" name="B_32">
              <controlPr defaultSize="0" autoFill="0" autoLine="0" autoPict="0">
                <anchor moveWithCells="1">
                  <from>
                    <xdr:col>6</xdr:col>
                    <xdr:colOff>342900</xdr:colOff>
                    <xdr:row>9</xdr:row>
                    <xdr:rowOff>175260</xdr:rowOff>
                  </from>
                  <to>
                    <xdr:col>6</xdr:col>
                    <xdr:colOff>525780</xdr:colOff>
                    <xdr:row>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3" name="Group Box 42">
              <controlPr defaultSize="0" autoFill="0" autoPict="0">
                <anchor moveWithCells="1">
                  <from>
                    <xdr:col>4</xdr:col>
                    <xdr:colOff>60960</xdr:colOff>
                    <xdr:row>9</xdr:row>
                    <xdr:rowOff>60960</xdr:rowOff>
                  </from>
                  <to>
                    <xdr:col>6</xdr:col>
                    <xdr:colOff>723900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4" name="B_39">
              <controlPr defaultSize="0" autoFill="0" autoLine="0" autoPict="0">
                <anchor moveWithCells="1">
                  <from>
                    <xdr:col>4</xdr:col>
                    <xdr:colOff>304800</xdr:colOff>
                    <xdr:row>10</xdr:row>
                    <xdr:rowOff>175260</xdr:rowOff>
                  </from>
                  <to>
                    <xdr:col>4</xdr:col>
                    <xdr:colOff>487680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5" name="B_40">
              <controlPr defaultSize="0" autoFill="0" autoLine="0" autoPict="0">
                <anchor moveWithCells="1">
                  <from>
                    <xdr:col>5</xdr:col>
                    <xdr:colOff>388620</xdr:colOff>
                    <xdr:row>10</xdr:row>
                    <xdr:rowOff>175260</xdr:rowOff>
                  </from>
                  <to>
                    <xdr:col>5</xdr:col>
                    <xdr:colOff>571500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6" name="B_41">
              <controlPr defaultSize="0" autoFill="0" autoLine="0" autoPict="0">
                <anchor moveWithCells="1">
                  <from>
                    <xdr:col>6</xdr:col>
                    <xdr:colOff>342900</xdr:colOff>
                    <xdr:row>10</xdr:row>
                    <xdr:rowOff>175260</xdr:rowOff>
                  </from>
                  <to>
                    <xdr:col>6</xdr:col>
                    <xdr:colOff>525780</xdr:colOff>
                    <xdr:row>10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7" name="Group Box 46">
              <controlPr defaultSize="0" autoFill="0" autoPict="0">
                <anchor moveWithCells="1">
                  <from>
                    <xdr:col>4</xdr:col>
                    <xdr:colOff>60960</xdr:colOff>
                    <xdr:row>10</xdr:row>
                    <xdr:rowOff>60960</xdr:rowOff>
                  </from>
                  <to>
                    <xdr:col>6</xdr:col>
                    <xdr:colOff>723900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48" name="B_48">
              <controlPr defaultSize="0" autoFill="0" autoLine="0" autoPict="0">
                <anchor moveWithCells="1">
                  <from>
                    <xdr:col>4</xdr:col>
                    <xdr:colOff>304800</xdr:colOff>
                    <xdr:row>11</xdr:row>
                    <xdr:rowOff>175260</xdr:rowOff>
                  </from>
                  <to>
                    <xdr:col>4</xdr:col>
                    <xdr:colOff>487680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49" name="B_49">
              <controlPr defaultSize="0" autoFill="0" autoLine="0" autoPict="0">
                <anchor moveWithCells="1">
                  <from>
                    <xdr:col>5</xdr:col>
                    <xdr:colOff>388620</xdr:colOff>
                    <xdr:row>11</xdr:row>
                    <xdr:rowOff>175260</xdr:rowOff>
                  </from>
                  <to>
                    <xdr:col>5</xdr:col>
                    <xdr:colOff>571500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0" name="B_50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175260</xdr:rowOff>
                  </from>
                  <to>
                    <xdr:col>6</xdr:col>
                    <xdr:colOff>525780</xdr:colOff>
                    <xdr:row>11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1" name="Group Box 50">
              <controlPr defaultSize="0" autoFill="0" autoPict="0">
                <anchor moveWithCells="1">
                  <from>
                    <xdr:col>4</xdr:col>
                    <xdr:colOff>60960</xdr:colOff>
                    <xdr:row>11</xdr:row>
                    <xdr:rowOff>60960</xdr:rowOff>
                  </from>
                  <to>
                    <xdr:col>6</xdr:col>
                    <xdr:colOff>723900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2" name="B_57">
              <controlPr defaultSize="0" autoFill="0" autoLine="0" autoPict="0">
                <anchor moveWithCells="1">
                  <from>
                    <xdr:col>4</xdr:col>
                    <xdr:colOff>304800</xdr:colOff>
                    <xdr:row>12</xdr:row>
                    <xdr:rowOff>175260</xdr:rowOff>
                  </from>
                  <to>
                    <xdr:col>4</xdr:col>
                    <xdr:colOff>487680</xdr:colOff>
                    <xdr:row>12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3" name="B_58">
              <controlPr defaultSize="0" autoFill="0" autoLine="0" autoPict="0">
                <anchor moveWithCells="1">
                  <from>
                    <xdr:col>5</xdr:col>
                    <xdr:colOff>388620</xdr:colOff>
                    <xdr:row>12</xdr:row>
                    <xdr:rowOff>175260</xdr:rowOff>
                  </from>
                  <to>
                    <xdr:col>5</xdr:col>
                    <xdr:colOff>571500</xdr:colOff>
                    <xdr:row>12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4" name="B_59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175260</xdr:rowOff>
                  </from>
                  <to>
                    <xdr:col>6</xdr:col>
                    <xdr:colOff>525780</xdr:colOff>
                    <xdr:row>12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5" name="Group Box 54">
              <controlPr defaultSize="0" autoFill="0" autoPict="0">
                <anchor moveWithCells="1">
                  <from>
                    <xdr:col>4</xdr:col>
                    <xdr:colOff>60960</xdr:colOff>
                    <xdr:row>12</xdr:row>
                    <xdr:rowOff>60960</xdr:rowOff>
                  </from>
                  <to>
                    <xdr:col>6</xdr:col>
                    <xdr:colOff>723900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6" name="B_6">
              <controlPr defaultSize="0" autoFill="0" autoLine="0" autoPict="0">
                <anchor moveWithCells="1">
                  <from>
                    <xdr:col>7</xdr:col>
                    <xdr:colOff>312420</xdr:colOff>
                    <xdr:row>6</xdr:row>
                    <xdr:rowOff>106680</xdr:rowOff>
                  </from>
                  <to>
                    <xdr:col>7</xdr:col>
                    <xdr:colOff>502920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7" name="B_7">
              <controlPr defaultSize="0" autoFill="0" autoLine="0" autoPict="0">
                <anchor moveWithCells="1">
                  <from>
                    <xdr:col>8</xdr:col>
                    <xdr:colOff>312420</xdr:colOff>
                    <xdr:row>6</xdr:row>
                    <xdr:rowOff>99060</xdr:rowOff>
                  </from>
                  <to>
                    <xdr:col>8</xdr:col>
                    <xdr:colOff>594360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58" name="B_8">
              <controlPr defaultSize="0" autoFill="0" autoLine="0" autoPict="0">
                <anchor moveWithCells="1">
                  <from>
                    <xdr:col>9</xdr:col>
                    <xdr:colOff>327660</xdr:colOff>
                    <xdr:row>6</xdr:row>
                    <xdr:rowOff>121920</xdr:rowOff>
                  </from>
                  <to>
                    <xdr:col>9</xdr:col>
                    <xdr:colOff>502920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59" name="B_9">
              <controlPr defaultSize="0" autoFill="0" autoLine="0" autoPict="0">
                <anchor moveWithCells="1">
                  <from>
                    <xdr:col>10</xdr:col>
                    <xdr:colOff>327660</xdr:colOff>
                    <xdr:row>6</xdr:row>
                    <xdr:rowOff>137160</xdr:rowOff>
                  </from>
                  <to>
                    <xdr:col>10</xdr:col>
                    <xdr:colOff>502920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0" name="Group Box 59">
              <controlPr defaultSize="0" autoFill="0" autoPict="0">
                <anchor moveWithCells="1">
                  <from>
                    <xdr:col>7</xdr:col>
                    <xdr:colOff>99060</xdr:colOff>
                    <xdr:row>6</xdr:row>
                    <xdr:rowOff>45720</xdr:rowOff>
                  </from>
                  <to>
                    <xdr:col>10</xdr:col>
                    <xdr:colOff>678180</xdr:colOff>
                    <xdr:row>6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1" name="B_15">
              <controlPr defaultSize="0" autoFill="0" autoLine="0" autoPict="0">
                <anchor moveWithCells="1">
                  <from>
                    <xdr:col>7</xdr:col>
                    <xdr:colOff>312420</xdr:colOff>
                    <xdr:row>7</xdr:row>
                    <xdr:rowOff>175260</xdr:rowOff>
                  </from>
                  <to>
                    <xdr:col>7</xdr:col>
                    <xdr:colOff>487680</xdr:colOff>
                    <xdr:row>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2" name="B_16">
              <controlPr defaultSize="0" autoFill="0" autoLine="0" autoPict="0">
                <anchor moveWithCells="1">
                  <from>
                    <xdr:col>8</xdr:col>
                    <xdr:colOff>312420</xdr:colOff>
                    <xdr:row>7</xdr:row>
                    <xdr:rowOff>175260</xdr:rowOff>
                  </from>
                  <to>
                    <xdr:col>8</xdr:col>
                    <xdr:colOff>487680</xdr:colOff>
                    <xdr:row>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3" name="B_17">
              <controlPr defaultSize="0" autoFill="0" autoLine="0" autoPict="0">
                <anchor moveWithCells="1">
                  <from>
                    <xdr:col>9</xdr:col>
                    <xdr:colOff>327660</xdr:colOff>
                    <xdr:row>7</xdr:row>
                    <xdr:rowOff>175260</xdr:rowOff>
                  </from>
                  <to>
                    <xdr:col>9</xdr:col>
                    <xdr:colOff>495300</xdr:colOff>
                    <xdr:row>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4" name="B_18">
              <controlPr defaultSize="0" autoFill="0" autoLine="0" autoPict="0">
                <anchor moveWithCells="1">
                  <from>
                    <xdr:col>10</xdr:col>
                    <xdr:colOff>327660</xdr:colOff>
                    <xdr:row>7</xdr:row>
                    <xdr:rowOff>175260</xdr:rowOff>
                  </from>
                  <to>
                    <xdr:col>10</xdr:col>
                    <xdr:colOff>495300</xdr:colOff>
                    <xdr:row>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5" name="Group Box 64">
              <controlPr defaultSize="0" autoFill="0" autoPict="0">
                <anchor moveWithCells="1">
                  <from>
                    <xdr:col>7</xdr:col>
                    <xdr:colOff>99060</xdr:colOff>
                    <xdr:row>7</xdr:row>
                    <xdr:rowOff>45720</xdr:rowOff>
                  </from>
                  <to>
                    <xdr:col>10</xdr:col>
                    <xdr:colOff>678180</xdr:colOff>
                    <xdr:row>7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6" name="B_24">
              <controlPr defaultSize="0" autoFill="0" autoLine="0" autoPict="0">
                <anchor moveWithCells="1">
                  <from>
                    <xdr:col>7</xdr:col>
                    <xdr:colOff>312420</xdr:colOff>
                    <xdr:row>8</xdr:row>
                    <xdr:rowOff>175260</xdr:rowOff>
                  </from>
                  <to>
                    <xdr:col>7</xdr:col>
                    <xdr:colOff>487680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7" name="B_25">
              <controlPr defaultSize="0" autoFill="0" autoLine="0" autoPict="0">
                <anchor moveWithCells="1">
                  <from>
                    <xdr:col>8</xdr:col>
                    <xdr:colOff>312420</xdr:colOff>
                    <xdr:row>8</xdr:row>
                    <xdr:rowOff>175260</xdr:rowOff>
                  </from>
                  <to>
                    <xdr:col>8</xdr:col>
                    <xdr:colOff>487680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68" name="B_26">
              <controlPr defaultSize="0" autoFill="0" autoLine="0" autoPict="0">
                <anchor moveWithCells="1">
                  <from>
                    <xdr:col>9</xdr:col>
                    <xdr:colOff>327660</xdr:colOff>
                    <xdr:row>8</xdr:row>
                    <xdr:rowOff>175260</xdr:rowOff>
                  </from>
                  <to>
                    <xdr:col>9</xdr:col>
                    <xdr:colOff>495300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69" name="B_27">
              <controlPr defaultSize="0" autoFill="0" autoLine="0" autoPict="0">
                <anchor moveWithCells="1">
                  <from>
                    <xdr:col>10</xdr:col>
                    <xdr:colOff>327660</xdr:colOff>
                    <xdr:row>8</xdr:row>
                    <xdr:rowOff>175260</xdr:rowOff>
                  </from>
                  <to>
                    <xdr:col>10</xdr:col>
                    <xdr:colOff>495300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0" name="Group Box 69">
              <controlPr defaultSize="0" autoFill="0" autoPict="0">
                <anchor moveWithCells="1">
                  <from>
                    <xdr:col>7</xdr:col>
                    <xdr:colOff>99060</xdr:colOff>
                    <xdr:row>8</xdr:row>
                    <xdr:rowOff>45720</xdr:rowOff>
                  </from>
                  <to>
                    <xdr:col>10</xdr:col>
                    <xdr:colOff>678180</xdr:colOff>
                    <xdr:row>8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1" name="B_33">
              <controlPr defaultSize="0" autoFill="0" autoLine="0" autoPict="0">
                <anchor moveWithCells="1">
                  <from>
                    <xdr:col>7</xdr:col>
                    <xdr:colOff>312420</xdr:colOff>
                    <xdr:row>9</xdr:row>
                    <xdr:rowOff>175260</xdr:rowOff>
                  </from>
                  <to>
                    <xdr:col>7</xdr:col>
                    <xdr:colOff>487680</xdr:colOff>
                    <xdr:row>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2" name="B_34">
              <controlPr defaultSize="0" autoFill="0" autoLine="0" autoPict="0">
                <anchor moveWithCells="1">
                  <from>
                    <xdr:col>8</xdr:col>
                    <xdr:colOff>312420</xdr:colOff>
                    <xdr:row>9</xdr:row>
                    <xdr:rowOff>175260</xdr:rowOff>
                  </from>
                  <to>
                    <xdr:col>8</xdr:col>
                    <xdr:colOff>487680</xdr:colOff>
                    <xdr:row>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73" name="B_35">
              <controlPr defaultSize="0" autoFill="0" autoLine="0" autoPict="0">
                <anchor moveWithCells="1">
                  <from>
                    <xdr:col>9</xdr:col>
                    <xdr:colOff>327660</xdr:colOff>
                    <xdr:row>9</xdr:row>
                    <xdr:rowOff>175260</xdr:rowOff>
                  </from>
                  <to>
                    <xdr:col>9</xdr:col>
                    <xdr:colOff>495300</xdr:colOff>
                    <xdr:row>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74" name="B_36">
              <controlPr defaultSize="0" autoFill="0" autoLine="0" autoPict="0">
                <anchor moveWithCells="1">
                  <from>
                    <xdr:col>10</xdr:col>
                    <xdr:colOff>327660</xdr:colOff>
                    <xdr:row>9</xdr:row>
                    <xdr:rowOff>175260</xdr:rowOff>
                  </from>
                  <to>
                    <xdr:col>10</xdr:col>
                    <xdr:colOff>495300</xdr:colOff>
                    <xdr:row>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75" name="Group Box 79">
              <controlPr defaultSize="0" autoFill="0" autoPict="0">
                <anchor moveWithCells="1">
                  <from>
                    <xdr:col>7</xdr:col>
                    <xdr:colOff>99060</xdr:colOff>
                    <xdr:row>9</xdr:row>
                    <xdr:rowOff>45720</xdr:rowOff>
                  </from>
                  <to>
                    <xdr:col>10</xdr:col>
                    <xdr:colOff>678180</xdr:colOff>
                    <xdr:row>9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76" name="B_42">
              <controlPr defaultSize="0" autoFill="0" autoLine="0" autoPict="0">
                <anchor moveWithCells="1">
                  <from>
                    <xdr:col>7</xdr:col>
                    <xdr:colOff>312420</xdr:colOff>
                    <xdr:row>10</xdr:row>
                    <xdr:rowOff>175260</xdr:rowOff>
                  </from>
                  <to>
                    <xdr:col>7</xdr:col>
                    <xdr:colOff>487680</xdr:colOff>
                    <xdr:row>10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77" name="B_43">
              <controlPr defaultSize="0" autoFill="0" autoLine="0" autoPict="0">
                <anchor moveWithCells="1">
                  <from>
                    <xdr:col>8</xdr:col>
                    <xdr:colOff>312420</xdr:colOff>
                    <xdr:row>10</xdr:row>
                    <xdr:rowOff>175260</xdr:rowOff>
                  </from>
                  <to>
                    <xdr:col>8</xdr:col>
                    <xdr:colOff>487680</xdr:colOff>
                    <xdr:row>10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78" name="B_44">
              <controlPr defaultSize="0" autoFill="0" autoLine="0" autoPict="0">
                <anchor moveWithCells="1">
                  <from>
                    <xdr:col>9</xdr:col>
                    <xdr:colOff>327660</xdr:colOff>
                    <xdr:row>10</xdr:row>
                    <xdr:rowOff>175260</xdr:rowOff>
                  </from>
                  <to>
                    <xdr:col>9</xdr:col>
                    <xdr:colOff>495300</xdr:colOff>
                    <xdr:row>10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79" name="B_45">
              <controlPr defaultSize="0" autoFill="0" autoLine="0" autoPict="0">
                <anchor moveWithCells="1">
                  <from>
                    <xdr:col>10</xdr:col>
                    <xdr:colOff>327660</xdr:colOff>
                    <xdr:row>10</xdr:row>
                    <xdr:rowOff>175260</xdr:rowOff>
                  </from>
                  <to>
                    <xdr:col>10</xdr:col>
                    <xdr:colOff>495300</xdr:colOff>
                    <xdr:row>10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0" name="Group Box 84">
              <controlPr defaultSize="0" autoFill="0" autoPict="0">
                <anchor moveWithCells="1">
                  <from>
                    <xdr:col>7</xdr:col>
                    <xdr:colOff>99060</xdr:colOff>
                    <xdr:row>10</xdr:row>
                    <xdr:rowOff>45720</xdr:rowOff>
                  </from>
                  <to>
                    <xdr:col>10</xdr:col>
                    <xdr:colOff>678180</xdr:colOff>
                    <xdr:row>10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1" name="B_51">
              <controlPr defaultSize="0" autoFill="0" autoLine="0" autoPict="0">
                <anchor moveWithCells="1">
                  <from>
                    <xdr:col>7</xdr:col>
                    <xdr:colOff>312420</xdr:colOff>
                    <xdr:row>11</xdr:row>
                    <xdr:rowOff>175260</xdr:rowOff>
                  </from>
                  <to>
                    <xdr:col>7</xdr:col>
                    <xdr:colOff>487680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2" name="B_52">
              <controlPr defaultSize="0" autoFill="0" autoLine="0" autoPict="0">
                <anchor moveWithCells="1">
                  <from>
                    <xdr:col>8</xdr:col>
                    <xdr:colOff>312420</xdr:colOff>
                    <xdr:row>11</xdr:row>
                    <xdr:rowOff>175260</xdr:rowOff>
                  </from>
                  <to>
                    <xdr:col>8</xdr:col>
                    <xdr:colOff>487680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83" name="B_53">
              <controlPr defaultSize="0" autoFill="0" autoLine="0" autoPict="0">
                <anchor moveWithCells="1">
                  <from>
                    <xdr:col>9</xdr:col>
                    <xdr:colOff>327660</xdr:colOff>
                    <xdr:row>11</xdr:row>
                    <xdr:rowOff>175260</xdr:rowOff>
                  </from>
                  <to>
                    <xdr:col>9</xdr:col>
                    <xdr:colOff>495300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84" name="B_54">
              <controlPr defaultSize="0" autoFill="0" autoLine="0" autoPict="0">
                <anchor moveWithCells="1">
                  <from>
                    <xdr:col>10</xdr:col>
                    <xdr:colOff>327660</xdr:colOff>
                    <xdr:row>11</xdr:row>
                    <xdr:rowOff>175260</xdr:rowOff>
                  </from>
                  <to>
                    <xdr:col>10</xdr:col>
                    <xdr:colOff>495300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85" name="Group Box 89">
              <controlPr defaultSize="0" autoFill="0" autoPict="0">
                <anchor moveWithCells="1">
                  <from>
                    <xdr:col>7</xdr:col>
                    <xdr:colOff>99060</xdr:colOff>
                    <xdr:row>11</xdr:row>
                    <xdr:rowOff>45720</xdr:rowOff>
                  </from>
                  <to>
                    <xdr:col>10</xdr:col>
                    <xdr:colOff>678180</xdr:colOff>
                    <xdr:row>11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86" name="B_60">
              <controlPr defaultSize="0" autoFill="0" autoLine="0" autoPict="0">
                <anchor moveWithCells="1">
                  <from>
                    <xdr:col>7</xdr:col>
                    <xdr:colOff>312420</xdr:colOff>
                    <xdr:row>12</xdr:row>
                    <xdr:rowOff>175260</xdr:rowOff>
                  </from>
                  <to>
                    <xdr:col>7</xdr:col>
                    <xdr:colOff>487680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87" name="B_61">
              <controlPr defaultSize="0" autoFill="0" autoLine="0" autoPict="0">
                <anchor moveWithCells="1">
                  <from>
                    <xdr:col>8</xdr:col>
                    <xdr:colOff>312420</xdr:colOff>
                    <xdr:row>12</xdr:row>
                    <xdr:rowOff>175260</xdr:rowOff>
                  </from>
                  <to>
                    <xdr:col>8</xdr:col>
                    <xdr:colOff>487680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88" name="B_62">
              <controlPr defaultSize="0" autoFill="0" autoLine="0" autoPict="0">
                <anchor moveWithCells="1">
                  <from>
                    <xdr:col>9</xdr:col>
                    <xdr:colOff>327660</xdr:colOff>
                    <xdr:row>12</xdr:row>
                    <xdr:rowOff>175260</xdr:rowOff>
                  </from>
                  <to>
                    <xdr:col>9</xdr:col>
                    <xdr:colOff>495300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89" name="B_63">
              <controlPr defaultSize="0" autoFill="0" autoLine="0" autoPict="0">
                <anchor moveWithCells="1">
                  <from>
                    <xdr:col>10</xdr:col>
                    <xdr:colOff>327660</xdr:colOff>
                    <xdr:row>12</xdr:row>
                    <xdr:rowOff>175260</xdr:rowOff>
                  </from>
                  <to>
                    <xdr:col>10</xdr:col>
                    <xdr:colOff>495300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0" name="Group Box 94">
              <controlPr defaultSize="0" autoFill="0" autoPict="0">
                <anchor moveWithCells="1">
                  <from>
                    <xdr:col>7</xdr:col>
                    <xdr:colOff>99060</xdr:colOff>
                    <xdr:row>12</xdr:row>
                    <xdr:rowOff>45720</xdr:rowOff>
                  </from>
                  <to>
                    <xdr:col>10</xdr:col>
                    <xdr:colOff>678180</xdr:colOff>
                    <xdr:row>12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91" name="B_66">
              <controlPr defaultSize="0" autoFill="0" autoLine="0" autoPict="0">
                <anchor moveWithCells="1">
                  <from>
                    <xdr:col>4</xdr:col>
                    <xdr:colOff>304800</xdr:colOff>
                    <xdr:row>14</xdr:row>
                    <xdr:rowOff>175260</xdr:rowOff>
                  </from>
                  <to>
                    <xdr:col>4</xdr:col>
                    <xdr:colOff>487680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92" name="B_67">
              <controlPr defaultSize="0" autoFill="0" autoLine="0" autoPict="0">
                <anchor moveWithCells="1">
                  <from>
                    <xdr:col>5</xdr:col>
                    <xdr:colOff>388620</xdr:colOff>
                    <xdr:row>14</xdr:row>
                    <xdr:rowOff>175260</xdr:rowOff>
                  </from>
                  <to>
                    <xdr:col>5</xdr:col>
                    <xdr:colOff>571500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93" name="B_68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175260</xdr:rowOff>
                  </from>
                  <to>
                    <xdr:col>6</xdr:col>
                    <xdr:colOff>525780</xdr:colOff>
                    <xdr:row>14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94" name="Group Box 111">
              <controlPr defaultSize="0" autoFill="0" autoPict="0">
                <anchor moveWithCells="1">
                  <from>
                    <xdr:col>4</xdr:col>
                    <xdr:colOff>60960</xdr:colOff>
                    <xdr:row>14</xdr:row>
                    <xdr:rowOff>60960</xdr:rowOff>
                  </from>
                  <to>
                    <xdr:col>6</xdr:col>
                    <xdr:colOff>723900</xdr:colOff>
                    <xdr:row>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95" name="B_69">
              <controlPr defaultSize="0" autoFill="0" autoLine="0" autoPict="0">
                <anchor moveWithCells="1">
                  <from>
                    <xdr:col>7</xdr:col>
                    <xdr:colOff>312420</xdr:colOff>
                    <xdr:row>14</xdr:row>
                    <xdr:rowOff>175260</xdr:rowOff>
                  </from>
                  <to>
                    <xdr:col>7</xdr:col>
                    <xdr:colOff>487680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96" name="B_70">
              <controlPr defaultSize="0" autoFill="0" autoLine="0" autoPict="0">
                <anchor moveWithCells="1">
                  <from>
                    <xdr:col>8</xdr:col>
                    <xdr:colOff>312420</xdr:colOff>
                    <xdr:row>14</xdr:row>
                    <xdr:rowOff>175260</xdr:rowOff>
                  </from>
                  <to>
                    <xdr:col>8</xdr:col>
                    <xdr:colOff>487680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97" name="B_71">
              <controlPr defaultSize="0" autoFill="0" autoLine="0" autoPict="0">
                <anchor moveWithCells="1">
                  <from>
                    <xdr:col>9</xdr:col>
                    <xdr:colOff>327660</xdr:colOff>
                    <xdr:row>14</xdr:row>
                    <xdr:rowOff>175260</xdr:rowOff>
                  </from>
                  <to>
                    <xdr:col>9</xdr:col>
                    <xdr:colOff>495300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98" name="B_72">
              <controlPr defaultSize="0" autoFill="0" autoLine="0" autoPict="0">
                <anchor moveWithCells="1">
                  <from>
                    <xdr:col>10</xdr:col>
                    <xdr:colOff>327660</xdr:colOff>
                    <xdr:row>14</xdr:row>
                    <xdr:rowOff>175260</xdr:rowOff>
                  </from>
                  <to>
                    <xdr:col>10</xdr:col>
                    <xdr:colOff>495300</xdr:colOff>
                    <xdr:row>14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99" name="Group Box 116">
              <controlPr defaultSize="0" autoFill="0" autoPict="0">
                <anchor moveWithCells="1">
                  <from>
                    <xdr:col>7</xdr:col>
                    <xdr:colOff>99060</xdr:colOff>
                    <xdr:row>14</xdr:row>
                    <xdr:rowOff>45720</xdr:rowOff>
                  </from>
                  <to>
                    <xdr:col>10</xdr:col>
                    <xdr:colOff>678180</xdr:colOff>
                    <xdr:row>14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/>
  <dimension ref="A3:HO7"/>
  <sheetViews>
    <sheetView zoomScaleNormal="100" workbookViewId="0">
      <selection activeCell="A5" sqref="A5:D5"/>
    </sheetView>
  </sheetViews>
  <sheetFormatPr defaultColWidth="11.5546875" defaultRowHeight="14.4" x14ac:dyDescent="0.3"/>
  <cols>
    <col min="5" max="5" width="12.88671875" bestFit="1" customWidth="1"/>
    <col min="10" max="10" width="11.5546875" style="54"/>
    <col min="18" max="18" width="14.5546875" bestFit="1" customWidth="1"/>
    <col min="20" max="20" width="24.6640625" bestFit="1" customWidth="1"/>
    <col min="21" max="21" width="16.6640625" bestFit="1" customWidth="1"/>
    <col min="32" max="32" width="13" customWidth="1"/>
    <col min="54" max="54" width="15.44140625" customWidth="1"/>
    <col min="77" max="77" width="14.88671875" customWidth="1"/>
    <col min="171" max="179" width="11.6640625" bestFit="1" customWidth="1"/>
    <col min="180" max="180" width="12.44140625" bestFit="1" customWidth="1"/>
    <col min="181" max="199" width="11.6640625" bestFit="1" customWidth="1"/>
    <col min="200" max="200" width="13.33203125" bestFit="1" customWidth="1"/>
    <col min="201" max="208" width="11.6640625" bestFit="1" customWidth="1"/>
    <col min="209" max="209" width="13.6640625" bestFit="1" customWidth="1"/>
    <col min="210" max="218" width="11.6640625" bestFit="1" customWidth="1"/>
    <col min="219" max="219" width="13.88671875" bestFit="1" customWidth="1"/>
    <col min="220" max="220" width="18" customWidth="1"/>
    <col min="221" max="221" width="17.109375" customWidth="1"/>
    <col min="222" max="222" width="17.5546875" customWidth="1"/>
    <col min="223" max="223" width="20.33203125" customWidth="1"/>
  </cols>
  <sheetData>
    <row r="3" spans="1:223" ht="15" thickBot="1" x14ac:dyDescent="0.35"/>
    <row r="4" spans="1:223" ht="15" thickBot="1" x14ac:dyDescent="0.35">
      <c r="FO4" s="226"/>
      <c r="FP4" s="227"/>
      <c r="FQ4" s="227"/>
      <c r="FR4" s="227"/>
      <c r="FS4" s="227"/>
      <c r="FT4" s="227"/>
      <c r="FU4" s="227"/>
      <c r="FV4" s="227"/>
      <c r="FW4" s="227"/>
      <c r="FX4" s="227"/>
      <c r="FY4" s="227"/>
      <c r="FZ4" s="227"/>
      <c r="GA4" s="227"/>
      <c r="GB4" s="227"/>
      <c r="GC4" s="227"/>
      <c r="GD4" s="227"/>
      <c r="GE4" s="227"/>
      <c r="GF4" s="227"/>
      <c r="GG4" s="227"/>
      <c r="GH4" s="227"/>
      <c r="GI4" s="227"/>
      <c r="GJ4" s="227"/>
      <c r="GK4" s="227"/>
      <c r="GL4" s="227"/>
      <c r="GM4" s="227"/>
      <c r="GN4" s="227"/>
      <c r="GO4" s="227"/>
      <c r="GP4" s="227"/>
      <c r="GQ4" s="227"/>
      <c r="GR4" s="227"/>
      <c r="GS4" s="227"/>
      <c r="GT4" s="227"/>
      <c r="GU4" s="227"/>
      <c r="GV4" s="227"/>
      <c r="GW4" s="227"/>
      <c r="GX4" s="227"/>
      <c r="GY4" s="227"/>
      <c r="GZ4" s="227"/>
      <c r="HA4" s="227"/>
      <c r="HB4" s="227"/>
      <c r="HC4" s="227"/>
      <c r="HD4" s="227"/>
      <c r="HE4" s="227"/>
      <c r="HF4" s="227"/>
      <c r="HG4" s="227"/>
      <c r="HH4" s="227"/>
      <c r="HI4" s="227"/>
      <c r="HJ4" s="227"/>
      <c r="HK4" s="227"/>
      <c r="HL4" s="227"/>
      <c r="HM4" s="227"/>
      <c r="HN4" s="227"/>
      <c r="HO4" s="228"/>
    </row>
    <row r="5" spans="1:223" ht="21" customHeight="1" thickBot="1" x14ac:dyDescent="0.35">
      <c r="A5" s="220" t="s">
        <v>327</v>
      </c>
      <c r="B5" s="221"/>
      <c r="C5" s="221"/>
      <c r="D5" s="222"/>
      <c r="E5" s="223" t="s">
        <v>416</v>
      </c>
      <c r="F5" s="224"/>
      <c r="G5" s="224"/>
      <c r="H5" s="224"/>
      <c r="I5" s="224"/>
      <c r="J5" s="224"/>
      <c r="K5" s="220" t="s">
        <v>417</v>
      </c>
      <c r="L5" s="221"/>
      <c r="M5" s="221"/>
      <c r="N5" s="221"/>
      <c r="O5" s="221"/>
      <c r="P5" s="221"/>
      <c r="Q5" s="222"/>
      <c r="R5" s="223" t="s">
        <v>328</v>
      </c>
      <c r="S5" s="225"/>
      <c r="T5" s="220" t="s">
        <v>341</v>
      </c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2"/>
      <c r="AG5" s="223" t="s">
        <v>351</v>
      </c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5"/>
      <c r="BD5" s="220" t="s">
        <v>360</v>
      </c>
      <c r="BE5" s="221"/>
      <c r="BF5" s="221"/>
      <c r="BG5" s="221"/>
      <c r="BH5" s="221"/>
      <c r="BI5" s="221"/>
      <c r="BJ5" s="221"/>
      <c r="BK5" s="221"/>
      <c r="BL5" s="221"/>
      <c r="BM5" s="221"/>
      <c r="BN5" s="221"/>
      <c r="BO5" s="221"/>
      <c r="BP5" s="221"/>
      <c r="BQ5" s="221"/>
      <c r="BR5" s="221"/>
      <c r="BS5" s="221"/>
      <c r="BT5" s="221"/>
      <c r="BU5" s="221"/>
      <c r="BV5" s="221"/>
      <c r="BW5" s="221"/>
      <c r="BX5" s="221"/>
      <c r="BY5" s="222"/>
      <c r="BZ5" s="223" t="s">
        <v>393</v>
      </c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5"/>
      <c r="DX5" s="220" t="s">
        <v>394</v>
      </c>
      <c r="DY5" s="221"/>
      <c r="DZ5" s="221"/>
      <c r="EA5" s="221"/>
      <c r="EB5" s="221"/>
      <c r="EC5" s="221"/>
      <c r="ED5" s="221"/>
      <c r="EE5" s="221"/>
      <c r="EF5" s="221"/>
      <c r="EG5" s="222"/>
      <c r="EH5" s="223" t="s">
        <v>418</v>
      </c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5"/>
      <c r="FO5" s="229" t="s">
        <v>131</v>
      </c>
      <c r="FP5" s="230"/>
      <c r="FQ5" s="230"/>
      <c r="FR5" s="230"/>
      <c r="FS5" s="230"/>
      <c r="FT5" s="230"/>
      <c r="FU5" s="230"/>
      <c r="FV5" s="230"/>
      <c r="FW5" s="230"/>
      <c r="FX5" s="231"/>
      <c r="FY5" s="232" t="s">
        <v>132</v>
      </c>
      <c r="FZ5" s="234"/>
      <c r="GA5" s="234"/>
      <c r="GB5" s="234"/>
      <c r="GC5" s="234"/>
      <c r="GD5" s="234"/>
      <c r="GE5" s="234"/>
      <c r="GF5" s="234"/>
      <c r="GG5" s="234"/>
      <c r="GH5" s="233"/>
      <c r="GI5" s="229" t="s">
        <v>133</v>
      </c>
      <c r="GJ5" s="230"/>
      <c r="GK5" s="230"/>
      <c r="GL5" s="230"/>
      <c r="GM5" s="230"/>
      <c r="GN5" s="230"/>
      <c r="GO5" s="230"/>
      <c r="GP5" s="230"/>
      <c r="GQ5" s="231"/>
      <c r="GR5" s="232" t="s">
        <v>135</v>
      </c>
      <c r="GS5" s="234"/>
      <c r="GT5" s="234"/>
      <c r="GU5" s="234"/>
      <c r="GV5" s="234"/>
      <c r="GW5" s="234"/>
      <c r="GX5" s="234"/>
      <c r="GY5" s="234"/>
      <c r="GZ5" s="234"/>
      <c r="HA5" s="233"/>
      <c r="HB5" s="229" t="s">
        <v>134</v>
      </c>
      <c r="HC5" s="230"/>
      <c r="HD5" s="230"/>
      <c r="HE5" s="230"/>
      <c r="HF5" s="230"/>
      <c r="HG5" s="230"/>
      <c r="HH5" s="230"/>
      <c r="HI5" s="230"/>
      <c r="HJ5" s="230"/>
      <c r="HK5" s="231"/>
      <c r="HL5" s="232" t="s">
        <v>321</v>
      </c>
      <c r="HM5" s="233"/>
      <c r="HN5" s="229" t="s">
        <v>323</v>
      </c>
      <c r="HO5" s="231"/>
    </row>
    <row r="6" spans="1:223" ht="15.6" x14ac:dyDescent="0.35">
      <c r="A6" s="48" t="s">
        <v>17</v>
      </c>
      <c r="B6" s="48" t="s">
        <v>419</v>
      </c>
      <c r="C6" s="48" t="s">
        <v>420</v>
      </c>
      <c r="D6" t="s">
        <v>327</v>
      </c>
      <c r="E6" s="48" t="s">
        <v>416</v>
      </c>
      <c r="F6" s="48" t="s">
        <v>0</v>
      </c>
      <c r="G6" s="48" t="s">
        <v>1</v>
      </c>
      <c r="H6" s="48" t="s">
        <v>2</v>
      </c>
      <c r="I6" s="48" t="s">
        <v>3</v>
      </c>
      <c r="J6" s="55" t="s">
        <v>55</v>
      </c>
      <c r="K6" s="48" t="s">
        <v>417</v>
      </c>
      <c r="L6" s="48" t="s">
        <v>175</v>
      </c>
      <c r="M6" s="48" t="s">
        <v>176</v>
      </c>
      <c r="N6" s="48" t="s">
        <v>177</v>
      </c>
      <c r="O6" s="48" t="s">
        <v>325</v>
      </c>
      <c r="P6" s="48" t="s">
        <v>172</v>
      </c>
      <c r="Q6" s="48" t="s">
        <v>173</v>
      </c>
      <c r="R6" s="48" t="s">
        <v>309</v>
      </c>
      <c r="S6" s="48" t="s">
        <v>178</v>
      </c>
      <c r="T6" s="48" t="s">
        <v>310</v>
      </c>
      <c r="U6" s="48" t="s">
        <v>311</v>
      </c>
      <c r="V6" s="48" t="s">
        <v>136</v>
      </c>
      <c r="W6" s="48" t="s">
        <v>137</v>
      </c>
      <c r="X6" s="48" t="s">
        <v>138</v>
      </c>
      <c r="Y6" s="48" t="s">
        <v>139</v>
      </c>
      <c r="Z6" s="48" t="s">
        <v>168</v>
      </c>
      <c r="AA6" s="48" t="s">
        <v>179</v>
      </c>
      <c r="AB6" s="48" t="s">
        <v>180</v>
      </c>
      <c r="AC6" s="48" t="s">
        <v>57</v>
      </c>
      <c r="AD6" s="48" t="s">
        <v>58</v>
      </c>
      <c r="AE6" s="48" t="s">
        <v>59</v>
      </c>
      <c r="AF6" s="48" t="s">
        <v>56</v>
      </c>
      <c r="AG6" s="48" t="s">
        <v>112</v>
      </c>
      <c r="AH6" s="48" t="s">
        <v>181</v>
      </c>
      <c r="AI6" s="48" t="s">
        <v>182</v>
      </c>
      <c r="AJ6" s="48" t="s">
        <v>60</v>
      </c>
      <c r="AK6" s="48" t="s">
        <v>191</v>
      </c>
      <c r="AL6" s="48" t="s">
        <v>192</v>
      </c>
      <c r="AM6" s="48" t="s">
        <v>183</v>
      </c>
      <c r="AN6" s="48" t="s">
        <v>184</v>
      </c>
      <c r="AO6" s="48" t="s">
        <v>185</v>
      </c>
      <c r="AP6" s="48" t="s">
        <v>186</v>
      </c>
      <c r="AQ6" s="48" t="s">
        <v>187</v>
      </c>
      <c r="AR6" s="48" t="s">
        <v>188</v>
      </c>
      <c r="AS6" s="48" t="s">
        <v>189</v>
      </c>
      <c r="AT6" s="48" t="s">
        <v>190</v>
      </c>
      <c r="AU6" s="48" t="s">
        <v>63</v>
      </c>
      <c r="AV6" s="48" t="s">
        <v>64</v>
      </c>
      <c r="AW6" s="48" t="s">
        <v>88</v>
      </c>
      <c r="AX6" s="48" t="s">
        <v>89</v>
      </c>
      <c r="AY6" s="48" t="s">
        <v>90</v>
      </c>
      <c r="AZ6" s="48" t="s">
        <v>91</v>
      </c>
      <c r="BA6" s="48" t="s">
        <v>92</v>
      </c>
      <c r="BB6" s="48" t="s">
        <v>93</v>
      </c>
      <c r="BC6" s="48" t="s">
        <v>72</v>
      </c>
      <c r="BD6" s="48" t="s">
        <v>114</v>
      </c>
      <c r="BE6" s="48" t="s">
        <v>193</v>
      </c>
      <c r="BF6" s="48" t="s">
        <v>194</v>
      </c>
      <c r="BG6" s="48" t="s">
        <v>195</v>
      </c>
      <c r="BH6" s="48" t="s">
        <v>196</v>
      </c>
      <c r="BI6" s="48" t="s">
        <v>197</v>
      </c>
      <c r="BJ6" s="48" t="s">
        <v>198</v>
      </c>
      <c r="BK6" s="48" t="s">
        <v>199</v>
      </c>
      <c r="BL6" s="48" t="s">
        <v>200</v>
      </c>
      <c r="BM6" s="48" t="s">
        <v>201</v>
      </c>
      <c r="BN6" s="48" t="s">
        <v>202</v>
      </c>
      <c r="BO6" s="48" t="s">
        <v>203</v>
      </c>
      <c r="BP6" s="48" t="s">
        <v>94</v>
      </c>
      <c r="BQ6" s="48" t="s">
        <v>73</v>
      </c>
      <c r="BR6" s="48" t="s">
        <v>95</v>
      </c>
      <c r="BS6" s="48" t="s">
        <v>96</v>
      </c>
      <c r="BT6" s="48" t="s">
        <v>97</v>
      </c>
      <c r="BU6" s="48" t="s">
        <v>98</v>
      </c>
      <c r="BV6" s="48" t="s">
        <v>99</v>
      </c>
      <c r="BW6" s="48" t="s">
        <v>100</v>
      </c>
      <c r="BX6" s="48" t="s">
        <v>101</v>
      </c>
      <c r="BY6" s="48" t="s">
        <v>87</v>
      </c>
      <c r="BZ6" s="48" t="s">
        <v>129</v>
      </c>
      <c r="CA6" s="48" t="s">
        <v>204</v>
      </c>
      <c r="CB6" s="48" t="s">
        <v>205</v>
      </c>
      <c r="CC6" s="48" t="s">
        <v>206</v>
      </c>
      <c r="CD6" s="48" t="s">
        <v>207</v>
      </c>
      <c r="CE6" s="48" t="s">
        <v>208</v>
      </c>
      <c r="CF6" s="48" t="s">
        <v>209</v>
      </c>
      <c r="CG6" s="48" t="s">
        <v>210</v>
      </c>
      <c r="CH6" s="48" t="s">
        <v>211</v>
      </c>
      <c r="CI6" s="48" t="s">
        <v>212</v>
      </c>
      <c r="CJ6" s="48" t="s">
        <v>213</v>
      </c>
      <c r="CK6" s="48" t="s">
        <v>214</v>
      </c>
      <c r="CL6" s="48" t="s">
        <v>215</v>
      </c>
      <c r="CM6" s="48" t="s">
        <v>216</v>
      </c>
      <c r="CN6" s="48" t="s">
        <v>217</v>
      </c>
      <c r="CO6" s="48" t="s">
        <v>218</v>
      </c>
      <c r="CP6" s="48" t="s">
        <v>75</v>
      </c>
      <c r="CQ6" s="48" t="s">
        <v>219</v>
      </c>
      <c r="CR6" s="48" t="s">
        <v>220</v>
      </c>
      <c r="CS6" s="48" t="s">
        <v>221</v>
      </c>
      <c r="CT6" s="48" t="s">
        <v>222</v>
      </c>
      <c r="CU6" s="48" t="s">
        <v>223</v>
      </c>
      <c r="CV6" s="48" t="s">
        <v>224</v>
      </c>
      <c r="CW6" s="48" t="s">
        <v>225</v>
      </c>
      <c r="CX6" s="48" t="s">
        <v>226</v>
      </c>
      <c r="CY6" s="48" t="s">
        <v>227</v>
      </c>
      <c r="CZ6" s="48" t="s">
        <v>228</v>
      </c>
      <c r="DA6" s="48" t="s">
        <v>124</v>
      </c>
      <c r="DB6" s="48" t="s">
        <v>125</v>
      </c>
      <c r="DC6" s="48" t="s">
        <v>126</v>
      </c>
      <c r="DD6" s="48" t="s">
        <v>127</v>
      </c>
      <c r="DE6" s="48" t="s">
        <v>128</v>
      </c>
      <c r="DF6" s="48" t="s">
        <v>77</v>
      </c>
      <c r="DG6" s="48" t="s">
        <v>229</v>
      </c>
      <c r="DH6" s="48" t="s">
        <v>230</v>
      </c>
      <c r="DI6" s="48" t="s">
        <v>231</v>
      </c>
      <c r="DJ6" s="48" t="s">
        <v>232</v>
      </c>
      <c r="DK6" s="48" t="s">
        <v>233</v>
      </c>
      <c r="DL6" s="48" t="s">
        <v>234</v>
      </c>
      <c r="DM6" s="48" t="s">
        <v>235</v>
      </c>
      <c r="DN6" s="48" t="s">
        <v>236</v>
      </c>
      <c r="DO6" s="48" t="s">
        <v>78</v>
      </c>
      <c r="DP6" s="48" t="s">
        <v>84</v>
      </c>
      <c r="DQ6" s="48" t="s">
        <v>85</v>
      </c>
      <c r="DR6" s="48" t="s">
        <v>83</v>
      </c>
      <c r="DS6" s="48" t="s">
        <v>82</v>
      </c>
      <c r="DT6" s="48" t="s">
        <v>81</v>
      </c>
      <c r="DU6" s="48" t="s">
        <v>80</v>
      </c>
      <c r="DV6" s="48" t="s">
        <v>79</v>
      </c>
      <c r="DW6" s="48" t="s">
        <v>86</v>
      </c>
      <c r="DX6" s="27" t="s">
        <v>130</v>
      </c>
      <c r="DY6" s="48" t="s">
        <v>237</v>
      </c>
      <c r="DZ6" s="48" t="s">
        <v>238</v>
      </c>
      <c r="EA6" s="48" t="s">
        <v>239</v>
      </c>
      <c r="EB6" s="48" t="s">
        <v>240</v>
      </c>
      <c r="EC6" s="48" t="s">
        <v>241</v>
      </c>
      <c r="ED6" s="48" t="s">
        <v>242</v>
      </c>
      <c r="EE6" s="48" t="s">
        <v>243</v>
      </c>
      <c r="EF6" s="48" t="s">
        <v>324</v>
      </c>
      <c r="EG6" s="48" t="s">
        <v>111</v>
      </c>
      <c r="EH6" s="27" t="s">
        <v>312</v>
      </c>
      <c r="EI6" s="48" t="s">
        <v>313</v>
      </c>
      <c r="EJ6" s="48" t="s">
        <v>314</v>
      </c>
      <c r="EK6" s="48" t="s">
        <v>315</v>
      </c>
      <c r="EL6" s="48" t="s">
        <v>316</v>
      </c>
      <c r="EM6" s="48" t="s">
        <v>317</v>
      </c>
      <c r="EN6" s="48" t="s">
        <v>318</v>
      </c>
      <c r="EO6" s="48" t="s">
        <v>319</v>
      </c>
      <c r="EP6" s="48" t="s">
        <v>320</v>
      </c>
      <c r="EQ6" s="48" t="s">
        <v>244</v>
      </c>
      <c r="ER6" s="48" t="s">
        <v>245</v>
      </c>
      <c r="ES6" s="48" t="s">
        <v>246</v>
      </c>
      <c r="ET6" s="48" t="s">
        <v>247</v>
      </c>
      <c r="EU6" s="48" t="s">
        <v>248</v>
      </c>
      <c r="EV6" s="48" t="s">
        <v>268</v>
      </c>
      <c r="EW6" s="48" t="s">
        <v>249</v>
      </c>
      <c r="EX6" s="48" t="s">
        <v>250</v>
      </c>
      <c r="EY6" s="48" t="s">
        <v>251</v>
      </c>
      <c r="EZ6" s="48" t="s">
        <v>252</v>
      </c>
      <c r="FA6" s="48" t="s">
        <v>253</v>
      </c>
      <c r="FB6" s="48" t="s">
        <v>254</v>
      </c>
      <c r="FC6" s="48" t="s">
        <v>255</v>
      </c>
      <c r="FD6" s="48" t="s">
        <v>267</v>
      </c>
      <c r="FE6" s="48" t="s">
        <v>256</v>
      </c>
      <c r="FF6" s="48" t="s">
        <v>257</v>
      </c>
      <c r="FG6" s="48" t="s">
        <v>102</v>
      </c>
      <c r="FH6" s="48" t="s">
        <v>103</v>
      </c>
      <c r="FI6" s="48" t="s">
        <v>105</v>
      </c>
      <c r="FJ6" s="48" t="s">
        <v>110</v>
      </c>
      <c r="FK6" s="48" t="s">
        <v>109</v>
      </c>
      <c r="FL6" s="48" t="s">
        <v>108</v>
      </c>
      <c r="FM6" s="48" t="s">
        <v>107</v>
      </c>
      <c r="FN6" s="48" t="s">
        <v>106</v>
      </c>
      <c r="FO6" s="48" t="s">
        <v>258</v>
      </c>
      <c r="FP6" s="48" t="s">
        <v>259</v>
      </c>
      <c r="FQ6" s="48" t="s">
        <v>260</v>
      </c>
      <c r="FR6" s="48" t="s">
        <v>261</v>
      </c>
      <c r="FS6" s="48" t="s">
        <v>262</v>
      </c>
      <c r="FT6" s="48" t="s">
        <v>263</v>
      </c>
      <c r="FU6" s="48" t="s">
        <v>266</v>
      </c>
      <c r="FV6" s="48" t="s">
        <v>264</v>
      </c>
      <c r="FW6" s="48" t="s">
        <v>265</v>
      </c>
      <c r="FX6" s="48" t="s">
        <v>296</v>
      </c>
      <c r="FY6" s="48" t="s">
        <v>269</v>
      </c>
      <c r="FZ6" s="48" t="s">
        <v>270</v>
      </c>
      <c r="GA6" s="48" t="s">
        <v>271</v>
      </c>
      <c r="GB6" s="48" t="s">
        <v>272</v>
      </c>
      <c r="GC6" s="48" t="s">
        <v>273</v>
      </c>
      <c r="GD6" s="48" t="s">
        <v>274</v>
      </c>
      <c r="GE6" s="48" t="s">
        <v>275</v>
      </c>
      <c r="GF6" s="48" t="s">
        <v>276</v>
      </c>
      <c r="GG6" s="48" t="s">
        <v>277</v>
      </c>
      <c r="GH6" s="48" t="s">
        <v>297</v>
      </c>
      <c r="GI6" s="48" t="s">
        <v>278</v>
      </c>
      <c r="GJ6" s="48" t="s">
        <v>279</v>
      </c>
      <c r="GK6" s="48" t="s">
        <v>280</v>
      </c>
      <c r="GL6" s="48" t="s">
        <v>281</v>
      </c>
      <c r="GM6" s="48" t="s">
        <v>282</v>
      </c>
      <c r="GN6" s="48" t="s">
        <v>283</v>
      </c>
      <c r="GO6" s="48" t="s">
        <v>284</v>
      </c>
      <c r="GP6" s="48" t="s">
        <v>285</v>
      </c>
      <c r="GQ6" s="48" t="s">
        <v>286</v>
      </c>
      <c r="GR6" s="48" t="s">
        <v>287</v>
      </c>
      <c r="GS6" s="48" t="s">
        <v>288</v>
      </c>
      <c r="GT6" s="48" t="s">
        <v>289</v>
      </c>
      <c r="GU6" s="48" t="s">
        <v>290</v>
      </c>
      <c r="GV6" s="48" t="s">
        <v>291</v>
      </c>
      <c r="GW6" s="48" t="s">
        <v>292</v>
      </c>
      <c r="GX6" s="48" t="s">
        <v>293</v>
      </c>
      <c r="GY6" s="48" t="s">
        <v>294</v>
      </c>
      <c r="GZ6" s="48" t="s">
        <v>295</v>
      </c>
      <c r="HA6" s="48" t="s">
        <v>298</v>
      </c>
      <c r="HB6" s="48" t="s">
        <v>299</v>
      </c>
      <c r="HC6" s="48" t="s">
        <v>300</v>
      </c>
      <c r="HD6" s="48" t="s">
        <v>301</v>
      </c>
      <c r="HE6" s="48" t="s">
        <v>302</v>
      </c>
      <c r="HF6" s="48" t="s">
        <v>303</v>
      </c>
      <c r="HG6" s="48" t="s">
        <v>304</v>
      </c>
      <c r="HH6" s="48" t="s">
        <v>305</v>
      </c>
      <c r="HI6" s="48" t="s">
        <v>306</v>
      </c>
      <c r="HJ6" s="48" t="s">
        <v>307</v>
      </c>
      <c r="HK6" s="48" t="s">
        <v>308</v>
      </c>
      <c r="HL6" s="48" t="s">
        <v>170</v>
      </c>
      <c r="HM6" s="48" t="s">
        <v>171</v>
      </c>
      <c r="HN6" s="48" t="s">
        <v>322</v>
      </c>
      <c r="HO6" s="48" t="s">
        <v>174</v>
      </c>
    </row>
    <row r="7" spans="1:223" x14ac:dyDescent="0.3">
      <c r="F7" t="b">
        <v>0</v>
      </c>
      <c r="G7" t="b">
        <v>0</v>
      </c>
      <c r="H7" t="b">
        <v>0</v>
      </c>
      <c r="I7" t="b">
        <v>0</v>
      </c>
      <c r="J7" s="54">
        <f>(F7+G7+H7+I7)/4</f>
        <v>0</v>
      </c>
      <c r="L7" t="b">
        <v>0</v>
      </c>
      <c r="M7" t="b">
        <v>0</v>
      </c>
      <c r="N7" t="b">
        <v>0</v>
      </c>
      <c r="O7">
        <f>L7*M7*N7</f>
        <v>0</v>
      </c>
      <c r="P7">
        <f>IF(O7&gt;1,1,O7)</f>
        <v>0</v>
      </c>
      <c r="Q7">
        <v>0.1</v>
      </c>
      <c r="S7" t="b">
        <v>0</v>
      </c>
      <c r="V7" t="b">
        <v>0</v>
      </c>
      <c r="W7" t="b">
        <v>0</v>
      </c>
      <c r="X7" t="b">
        <v>0</v>
      </c>
      <c r="Y7">
        <v>3</v>
      </c>
      <c r="Z7" t="b">
        <v>0</v>
      </c>
      <c r="AA7" t="b">
        <v>0</v>
      </c>
      <c r="AB7" t="b">
        <v>0</v>
      </c>
      <c r="AC7">
        <f>IF(OR(X7=3,Y7=3),V7*W7*X7*Y7*1,V7*W7*X7*Y7*Z7)</f>
        <v>0</v>
      </c>
      <c r="AD7">
        <f>(V7*W7*AA7*AB7)/2</f>
        <v>0</v>
      </c>
      <c r="AE7">
        <f>V7*W7</f>
        <v>0</v>
      </c>
      <c r="AF7" t="b">
        <f>IF(W7=1,AC7,IF(W7=2,AD7,IF(W7=0.3,AE7)))</f>
        <v>0</v>
      </c>
      <c r="AG7">
        <v>3</v>
      </c>
      <c r="AH7" t="b">
        <v>0</v>
      </c>
      <c r="AI7" t="b">
        <v>0</v>
      </c>
      <c r="AJ7">
        <f>AF7*AG7*AH7*AI7</f>
        <v>0</v>
      </c>
      <c r="AK7" t="b">
        <v>0</v>
      </c>
      <c r="AL7" t="b">
        <v>0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f>AF7*AG7*AK7*AL7*AM7</f>
        <v>0</v>
      </c>
      <c r="AV7">
        <f>AF7*AG7*AK7*AL7*AN7</f>
        <v>0</v>
      </c>
      <c r="AW7">
        <f>AF7*AG7*AK7*AL7*AO7</f>
        <v>0</v>
      </c>
      <c r="AX7">
        <f>AF7*AG7*AK7*AL7*AP7</f>
        <v>0</v>
      </c>
      <c r="AY7">
        <f>AF7*AG7*AK7*AL7*AQ7</f>
        <v>0</v>
      </c>
      <c r="AZ7">
        <f>AF7*AG7*AK7*AL7*AR7</f>
        <v>0</v>
      </c>
      <c r="BA7">
        <f>AF7*AG7*AK7*AL7*AS7</f>
        <v>0</v>
      </c>
      <c r="BB7">
        <f>AF7*AG7*AK7*AL7*AT7</f>
        <v>0</v>
      </c>
      <c r="BC7">
        <f>SUM(AU7:BB7)+AJ7</f>
        <v>0</v>
      </c>
      <c r="BD7">
        <v>1</v>
      </c>
      <c r="BE7" t="b">
        <v>0</v>
      </c>
      <c r="BF7" t="b">
        <v>0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f>AF7*BD7*BE7*BF7*BG7</f>
        <v>0</v>
      </c>
      <c r="BQ7">
        <f>AF7*BD7*BE7*BF7*BH7</f>
        <v>0</v>
      </c>
      <c r="BR7">
        <f>AF7*BD7*BE7*BF7*BI7</f>
        <v>0</v>
      </c>
      <c r="BS7">
        <f>AF7*BD7*BE7*BF7*BJ7</f>
        <v>0</v>
      </c>
      <c r="BT7">
        <f>AF7*BD7*BE7*BF7*BK7</f>
        <v>0</v>
      </c>
      <c r="BU7">
        <f>AF7*BD7*BE7*BF7*BL7</f>
        <v>0</v>
      </c>
      <c r="BV7">
        <f>AF7*BD7*BE7*BF7*BM7</f>
        <v>0</v>
      </c>
      <c r="BW7">
        <f>AF7*BD7*BE7*BF7*BN7</f>
        <v>0</v>
      </c>
      <c r="BX7">
        <f>AF7*BD7*BE7*BF7*BO7</f>
        <v>0</v>
      </c>
      <c r="BY7">
        <f>SUM(BP7:BX7)</f>
        <v>0</v>
      </c>
      <c r="BZ7">
        <v>1</v>
      </c>
      <c r="CA7" t="b">
        <v>0</v>
      </c>
      <c r="CB7" t="b">
        <v>0</v>
      </c>
      <c r="CC7" t="b">
        <v>0</v>
      </c>
      <c r="CD7" t="b">
        <v>0</v>
      </c>
      <c r="CE7" t="b">
        <v>0</v>
      </c>
      <c r="CF7" t="b">
        <v>0</v>
      </c>
      <c r="CG7" t="b">
        <v>0</v>
      </c>
      <c r="CH7" t="b">
        <v>0</v>
      </c>
      <c r="CI7" t="b">
        <v>0</v>
      </c>
      <c r="CJ7" t="b">
        <v>0</v>
      </c>
      <c r="CK7">
        <f>AF7*BZ7*CA7*CF7</f>
        <v>0</v>
      </c>
      <c r="CL7">
        <f>AF7*BZ7*CB7*CG7</f>
        <v>0</v>
      </c>
      <c r="CM7">
        <f>AF7*BZ7*CC7*CH7</f>
        <v>0</v>
      </c>
      <c r="CN7">
        <f>AF7*BZ7*CD7*CI7</f>
        <v>0</v>
      </c>
      <c r="CO7">
        <f>AF7*BZ7*CE7*CJ7</f>
        <v>0</v>
      </c>
      <c r="CP7">
        <f>MAX(CK7:CO7)</f>
        <v>0</v>
      </c>
      <c r="CQ7" t="b">
        <v>0</v>
      </c>
      <c r="CR7" t="b">
        <v>0</v>
      </c>
      <c r="CS7" t="b">
        <v>0</v>
      </c>
      <c r="CT7" t="b">
        <v>0</v>
      </c>
      <c r="CU7" t="b">
        <v>0</v>
      </c>
      <c r="CV7" t="b">
        <v>0</v>
      </c>
      <c r="CW7" t="b">
        <v>0</v>
      </c>
      <c r="CX7" t="b">
        <v>0</v>
      </c>
      <c r="CY7" t="b">
        <v>0</v>
      </c>
      <c r="CZ7" t="b">
        <v>0</v>
      </c>
      <c r="DA7">
        <f>AF7*BZ7*CQ7*CV7</f>
        <v>0</v>
      </c>
      <c r="DB7">
        <f>AF7*BZ7*CR7*CW7</f>
        <v>0</v>
      </c>
      <c r="DC7">
        <f>AF7*BZ7*CS7*CX7</f>
        <v>0</v>
      </c>
      <c r="DD7">
        <f>AF7*BZ7*CT7*CY7</f>
        <v>0</v>
      </c>
      <c r="DE7">
        <f>AF7*BZ7*CU7*CZ7</f>
        <v>0</v>
      </c>
      <c r="DF7">
        <f>MAX(DA7:DE7)</f>
        <v>0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N7">
        <v>1</v>
      </c>
      <c r="DO7">
        <f>DG7*DF7</f>
        <v>0</v>
      </c>
      <c r="DP7">
        <f>DH7*DF7</f>
        <v>0</v>
      </c>
      <c r="DQ7">
        <f>DI7*DF7</f>
        <v>0</v>
      </c>
      <c r="DR7">
        <f>DJ7*DF7</f>
        <v>0</v>
      </c>
      <c r="DS7">
        <f>DK7*DF7</f>
        <v>0</v>
      </c>
      <c r="DT7">
        <f>DL7*DF7</f>
        <v>0</v>
      </c>
      <c r="DU7">
        <f>DM7*DF7</f>
        <v>0</v>
      </c>
      <c r="DV7">
        <f>DN7*DF7</f>
        <v>0</v>
      </c>
      <c r="DW7">
        <f>SUM(DO7:DV7)+CP7</f>
        <v>0</v>
      </c>
      <c r="DX7">
        <v>1</v>
      </c>
      <c r="DY7" t="b">
        <v>0</v>
      </c>
      <c r="DZ7" t="b">
        <v>0</v>
      </c>
      <c r="EA7" t="b">
        <v>0</v>
      </c>
      <c r="EB7" t="b">
        <v>0</v>
      </c>
      <c r="EC7" t="b">
        <v>0</v>
      </c>
      <c r="ED7" t="b">
        <v>0</v>
      </c>
      <c r="EE7" t="b">
        <v>0</v>
      </c>
      <c r="EF7">
        <f>IF(DY7=1,DX7*DY7*EE7,IF(EC7=1,DX7*DY7*DZ7*EA7*EB7*EE7,DX7*DY7*DZ7*EA7*EB7*EC7*ED7*EE7))</f>
        <v>0</v>
      </c>
      <c r="EG7">
        <f>IF(EF7&gt;1,1,EF7)</f>
        <v>0</v>
      </c>
      <c r="EH7">
        <v>0.3</v>
      </c>
      <c r="EI7" t="b">
        <v>0</v>
      </c>
      <c r="EJ7" t="b">
        <v>0</v>
      </c>
      <c r="EK7" t="b">
        <v>0</v>
      </c>
      <c r="EL7" t="b">
        <v>0</v>
      </c>
      <c r="EM7" t="b">
        <v>0</v>
      </c>
      <c r="EN7" t="b">
        <v>0</v>
      </c>
      <c r="EO7" t="b">
        <v>0</v>
      </c>
      <c r="EP7" t="b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 t="b">
        <v>0</v>
      </c>
      <c r="EZ7" t="b">
        <v>0</v>
      </c>
      <c r="FA7" t="b">
        <v>0</v>
      </c>
      <c r="FB7" t="b">
        <v>0</v>
      </c>
      <c r="FC7" t="b">
        <v>0</v>
      </c>
      <c r="FD7" t="b">
        <v>0</v>
      </c>
      <c r="FE7" t="b">
        <v>0</v>
      </c>
      <c r="FF7" t="b">
        <v>0</v>
      </c>
      <c r="FG7">
        <f>IF(EI7=1,EH7*EQ7*EY7,1)</f>
        <v>1</v>
      </c>
      <c r="FH7">
        <f>IF(EJ7=1,EH7*ER7*EZ7,1)</f>
        <v>1</v>
      </c>
      <c r="FI7">
        <f>IF(EK7=1,EH7*ES7*FA7,1)</f>
        <v>1</v>
      </c>
      <c r="FJ7">
        <f>IF(EL7=1,EH7*ET7*FB7,1)</f>
        <v>1</v>
      </c>
      <c r="FK7">
        <f>IF(EM7=1,EH7*EU7*FC7,1)</f>
        <v>1</v>
      </c>
      <c r="FL7">
        <f>IF(EN7=1,EH7*EV7*FD7,1)</f>
        <v>1</v>
      </c>
      <c r="FM7">
        <f>IF(EO7=1,EH7*EW7*FE7,1)</f>
        <v>1</v>
      </c>
      <c r="FN7">
        <f>IF(EP7=1,EH7*EX7*FF7,1)</f>
        <v>1</v>
      </c>
      <c r="FO7">
        <f>AJ7+BS7+CP7</f>
        <v>0</v>
      </c>
      <c r="FP7">
        <f>AU7+BP7+DO7</f>
        <v>0</v>
      </c>
      <c r="FQ7">
        <f>AV7+BQ7+DP7</f>
        <v>0</v>
      </c>
      <c r="FR7">
        <f>AW7+BR7+DQ7</f>
        <v>0</v>
      </c>
      <c r="FS7">
        <f>AX7+BT7+DR7</f>
        <v>0</v>
      </c>
      <c r="FT7">
        <f>AY7+BU7+DS7</f>
        <v>0</v>
      </c>
      <c r="FU7">
        <f>AZ7+BV7+DT7</f>
        <v>0</v>
      </c>
      <c r="FV7">
        <f>BA7+BW7+DU7</f>
        <v>0</v>
      </c>
      <c r="FW7">
        <f>BB7+BW7+DV7</f>
        <v>0</v>
      </c>
      <c r="FX7">
        <f>SUM(FO7:FW7)</f>
        <v>0</v>
      </c>
      <c r="FY7">
        <f>FO7*EG7</f>
        <v>0</v>
      </c>
      <c r="FZ7">
        <f t="shared" ref="FZ7:GG7" si="0">FP7*FG7</f>
        <v>0</v>
      </c>
      <c r="GA7">
        <f t="shared" si="0"/>
        <v>0</v>
      </c>
      <c r="GB7">
        <f t="shared" si="0"/>
        <v>0</v>
      </c>
      <c r="GC7">
        <f t="shared" si="0"/>
        <v>0</v>
      </c>
      <c r="GD7">
        <f t="shared" si="0"/>
        <v>0</v>
      </c>
      <c r="GE7">
        <f t="shared" si="0"/>
        <v>0</v>
      </c>
      <c r="GF7">
        <f t="shared" si="0"/>
        <v>0</v>
      </c>
      <c r="GG7">
        <f t="shared" si="0"/>
        <v>0</v>
      </c>
      <c r="GH7">
        <f>SUM(FY7:GG7)</f>
        <v>0</v>
      </c>
      <c r="GI7">
        <v>0.47</v>
      </c>
      <c r="GJ7">
        <v>0.69</v>
      </c>
      <c r="GK7">
        <v>0.67</v>
      </c>
      <c r="GL7">
        <v>0.53</v>
      </c>
      <c r="GM7">
        <v>1.22</v>
      </c>
      <c r="GN7">
        <v>1.22</v>
      </c>
      <c r="GO7">
        <v>2.4300000000000002</v>
      </c>
      <c r="GP7">
        <v>1.1499999999999999</v>
      </c>
      <c r="GQ7">
        <v>0.63</v>
      </c>
      <c r="GR7">
        <f t="shared" ref="GR7:GZ7" si="1">FO7*GI7</f>
        <v>0</v>
      </c>
      <c r="GS7">
        <f t="shared" si="1"/>
        <v>0</v>
      </c>
      <c r="GT7">
        <f t="shared" si="1"/>
        <v>0</v>
      </c>
      <c r="GU7">
        <f t="shared" si="1"/>
        <v>0</v>
      </c>
      <c r="GV7">
        <f t="shared" si="1"/>
        <v>0</v>
      </c>
      <c r="GW7">
        <f t="shared" si="1"/>
        <v>0</v>
      </c>
      <c r="GX7">
        <f t="shared" si="1"/>
        <v>0</v>
      </c>
      <c r="GY7">
        <f t="shared" si="1"/>
        <v>0</v>
      </c>
      <c r="GZ7">
        <f t="shared" si="1"/>
        <v>0</v>
      </c>
      <c r="HA7">
        <f>SUM(GR7:GZ7)</f>
        <v>0</v>
      </c>
      <c r="HB7">
        <f t="shared" ref="HB7:HJ7" si="2">FY7*GI7</f>
        <v>0</v>
      </c>
      <c r="HC7">
        <f t="shared" si="2"/>
        <v>0</v>
      </c>
      <c r="HD7">
        <f t="shared" si="2"/>
        <v>0</v>
      </c>
      <c r="HE7">
        <f t="shared" si="2"/>
        <v>0</v>
      </c>
      <c r="HF7">
        <f t="shared" si="2"/>
        <v>0</v>
      </c>
      <c r="HG7">
        <f t="shared" si="2"/>
        <v>0</v>
      </c>
      <c r="HH7">
        <f t="shared" si="2"/>
        <v>0</v>
      </c>
      <c r="HI7">
        <f t="shared" si="2"/>
        <v>0</v>
      </c>
      <c r="HJ7">
        <f t="shared" si="2"/>
        <v>0</v>
      </c>
      <c r="HK7">
        <f>SUM(HB7:HJ7)</f>
        <v>0</v>
      </c>
      <c r="HL7">
        <f>HA7*S7</f>
        <v>0</v>
      </c>
      <c r="HM7">
        <f>HK7*S7</f>
        <v>0</v>
      </c>
      <c r="HN7">
        <f>HL7*J7*P7*Q7</f>
        <v>0</v>
      </c>
      <c r="HO7">
        <f>HM7*J7*P7*Q7</f>
        <v>0</v>
      </c>
    </row>
  </sheetData>
  <sheetProtection formatCells="0" formatColumns="0" formatRows="0" insertColumns="0" insertRows="0" insertHyperlinks="0" deleteColumns="0" deleteRows="0" sort="0" autoFilter="0" pivotTables="0"/>
  <mergeCells count="18">
    <mergeCell ref="FO4:HO4"/>
    <mergeCell ref="HB5:HK5"/>
    <mergeCell ref="HL5:HM5"/>
    <mergeCell ref="HN5:HO5"/>
    <mergeCell ref="EH5:FN5"/>
    <mergeCell ref="FO5:FX5"/>
    <mergeCell ref="FY5:GH5"/>
    <mergeCell ref="GI5:GQ5"/>
    <mergeCell ref="GR5:HA5"/>
    <mergeCell ref="DX5:EG5"/>
    <mergeCell ref="AG5:BC5"/>
    <mergeCell ref="BD5:BY5"/>
    <mergeCell ref="BZ5:DW5"/>
    <mergeCell ref="A5:D5"/>
    <mergeCell ref="E5:J5"/>
    <mergeCell ref="K5:Q5"/>
    <mergeCell ref="R5:S5"/>
    <mergeCell ref="T5:AF5"/>
  </mergeCells>
  <hyperlinks>
    <hyperlink ref="E5:J5" location="'2. Departamento'!A1" display="Departamento" xr:uid="{00000000-0004-0000-0B00-000000000000}"/>
    <hyperlink ref="A5:D5" location="'1. Empresa'!A1" display="Empresa" xr:uid="{00000000-0004-0000-0B00-000001000000}"/>
    <hyperlink ref="K5:Q5" location="'3. Puesto'!A1" display="Puesto" xr:uid="{00000000-0004-0000-0B00-000002000000}"/>
    <hyperlink ref="R5:S5" location="'4. Tarea'!A1" display="Tarea" xr:uid="{00000000-0004-0000-0B00-000003000000}"/>
    <hyperlink ref="T5:AF5" location="'5. Agente'!A1" display="Agente" xr:uid="{00000000-0004-0000-0B00-000004000000}"/>
    <hyperlink ref="AG5:BC5" location="'6. Emisión'!A1" display="Emisión" xr:uid="{00000000-0004-0000-0B00-000005000000}"/>
    <hyperlink ref="BD5:BY5" location="'6. Deposición'!A1" display="Deposición" xr:uid="{00000000-0004-0000-0B00-000006000000}"/>
    <hyperlink ref="BZ5:DW5" location="'6. Transferencia'!A1" display="Tranferencia" xr:uid="{00000000-0004-0000-0B00-000007000000}"/>
    <hyperlink ref="DX5:EF5" location="'6. Protección Guantes'!A1" display="Protección guantes" xr:uid="{00000000-0004-0000-0B00-000008000000}"/>
    <hyperlink ref="EH5:FN5" location="'6. Protección Ropa'!A1" display="Protección Ropa" xr:uid="{00000000-0004-0000-0B00-000009000000}"/>
  </hyperlinks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191</vt:i4>
      </vt:variant>
    </vt:vector>
  </HeadingPairs>
  <TitlesOfParts>
    <vt:vector size="203" baseType="lpstr">
      <vt:lpstr>Inicio</vt:lpstr>
      <vt:lpstr>1. Empresa</vt:lpstr>
      <vt:lpstr>2. Departamento</vt:lpstr>
      <vt:lpstr>3. Puesto</vt:lpstr>
      <vt:lpstr>4. Tarea</vt:lpstr>
      <vt:lpstr>5. Agente</vt:lpstr>
      <vt:lpstr>6. Emisión</vt:lpstr>
      <vt:lpstr>6. Deposición</vt:lpstr>
      <vt:lpstr>6. Transferencia</vt:lpstr>
      <vt:lpstr>6. Protección Guantes</vt:lpstr>
      <vt:lpstr>6. Protección Ropa</vt:lpstr>
      <vt:lpstr>Data</vt:lpstr>
      <vt:lpstr>_6.1</vt:lpstr>
      <vt:lpstr>agente</vt:lpstr>
      <vt:lpstr>BC</vt:lpstr>
      <vt:lpstr>'6. Deposición'!brazosuperior</vt:lpstr>
      <vt:lpstr>brazosuperior</vt:lpstr>
      <vt:lpstr>C_FA</vt:lpstr>
      <vt:lpstr>C_FE</vt:lpstr>
      <vt:lpstr>C_HE</vt:lpstr>
      <vt:lpstr>C_LB</vt:lpstr>
      <vt:lpstr>C_LL</vt:lpstr>
      <vt:lpstr>C_TB</vt:lpstr>
      <vt:lpstr>C_TF</vt:lpstr>
      <vt:lpstr>C_UA</vt:lpstr>
      <vt:lpstr>'6. Deposición'!cabeza</vt:lpstr>
      <vt:lpstr>cabeza</vt:lpstr>
      <vt:lpstr>CE</vt:lpstr>
      <vt:lpstr>Cn</vt:lpstr>
      <vt:lpstr>D_FA</vt:lpstr>
      <vt:lpstr>D_FA1</vt:lpstr>
      <vt:lpstr>D_FE</vt:lpstr>
      <vt:lpstr>D_FE1</vt:lpstr>
      <vt:lpstr>D_HA</vt:lpstr>
      <vt:lpstr>D_HA1</vt:lpstr>
      <vt:lpstr>D_HE</vt:lpstr>
      <vt:lpstr>D_HE1</vt:lpstr>
      <vt:lpstr>D_LB</vt:lpstr>
      <vt:lpstr>D_LB1</vt:lpstr>
      <vt:lpstr>D_LL</vt:lpstr>
      <vt:lpstr>D_LL1</vt:lpstr>
      <vt:lpstr>D_TB</vt:lpstr>
      <vt:lpstr>D_TB1</vt:lpstr>
      <vt:lpstr>D_TF</vt:lpstr>
      <vt:lpstr>D_TF1</vt:lpstr>
      <vt:lpstr>D_TOT</vt:lpstr>
      <vt:lpstr>D_UA</vt:lpstr>
      <vt:lpstr>D_UA1</vt:lpstr>
      <vt:lpstr>Data_A</vt:lpstr>
      <vt:lpstr>Data_Agente</vt:lpstr>
      <vt:lpstr>Data_B</vt:lpstr>
      <vt:lpstr>Data_C</vt:lpstr>
      <vt:lpstr>Data_D</vt:lpstr>
      <vt:lpstr>Data_Departamento</vt:lpstr>
      <vt:lpstr>Data_Deposicion</vt:lpstr>
      <vt:lpstr>Data_E</vt:lpstr>
      <vt:lpstr>Data_Emision</vt:lpstr>
      <vt:lpstr>Data_Empresa</vt:lpstr>
      <vt:lpstr>Data_F</vt:lpstr>
      <vt:lpstr>Data_G</vt:lpstr>
      <vt:lpstr>Data_Guantes</vt:lpstr>
      <vt:lpstr>Data_Puesto</vt:lpstr>
      <vt:lpstr>Data_Ropa</vt:lpstr>
      <vt:lpstr>Data_Tarea</vt:lpstr>
      <vt:lpstr>Data_Transferencia</vt:lpstr>
      <vt:lpstr>DD_HE1</vt:lpstr>
      <vt:lpstr>DU</vt:lpstr>
      <vt:lpstr>E_FA</vt:lpstr>
      <vt:lpstr>E_FA1</vt:lpstr>
      <vt:lpstr>E_FE</vt:lpstr>
      <vt:lpstr>E_FE1</vt:lpstr>
      <vt:lpstr>E_HA</vt:lpstr>
      <vt:lpstr>E_HE</vt:lpstr>
      <vt:lpstr>E_HE1</vt:lpstr>
      <vt:lpstr>E_LB</vt:lpstr>
      <vt:lpstr>E_LB1</vt:lpstr>
      <vt:lpstr>E_LL</vt:lpstr>
      <vt:lpstr>E_LL1</vt:lpstr>
      <vt:lpstr>E_TB</vt:lpstr>
      <vt:lpstr>E_TB1</vt:lpstr>
      <vt:lpstr>E_TF</vt:lpstr>
      <vt:lpstr>E_TF1</vt:lpstr>
      <vt:lpstr>E_TOT</vt:lpstr>
      <vt:lpstr>E_UA</vt:lpstr>
      <vt:lpstr>E_UA1</vt:lpstr>
      <vt:lpstr>EC_1</vt:lpstr>
      <vt:lpstr>EC_2</vt:lpstr>
      <vt:lpstr>EC_3</vt:lpstr>
      <vt:lpstr>EH</vt:lpstr>
      <vt:lpstr>EH_FL</vt:lpstr>
      <vt:lpstr>EH_MC</vt:lpstr>
      <vt:lpstr>EH_TO</vt:lpstr>
      <vt:lpstr>EH_WT</vt:lpstr>
      <vt:lpstr>Ei</vt:lpstr>
      <vt:lpstr>Ei_L</vt:lpstr>
      <vt:lpstr>Ei_S</vt:lpstr>
      <vt:lpstr>Ei_V</vt:lpstr>
      <vt:lpstr>Empresa</vt:lpstr>
      <vt:lpstr>ER_D</vt:lpstr>
      <vt:lpstr>ER_E</vt:lpstr>
      <vt:lpstr>ER_R</vt:lpstr>
      <vt:lpstr>ER_T</vt:lpstr>
      <vt:lpstr>EV</vt:lpstr>
      <vt:lpstr>fecha</vt:lpstr>
      <vt:lpstr>Fm</vt:lpstr>
      <vt:lpstr>GC</vt:lpstr>
      <vt:lpstr>GD</vt:lpstr>
      <vt:lpstr>I_D.BP</vt:lpstr>
      <vt:lpstr>I_E.BP</vt:lpstr>
      <vt:lpstr>I_E.HA</vt:lpstr>
      <vt:lpstr>I_T.BP.FL</vt:lpstr>
      <vt:lpstr>I_T.BP.MA</vt:lpstr>
      <vt:lpstr>I_T.BP.OT</vt:lpstr>
      <vt:lpstr>I_T.BP.TA</vt:lpstr>
      <vt:lpstr>I_T.BP.TO</vt:lpstr>
      <vt:lpstr>I_T.HA.FL</vt:lpstr>
      <vt:lpstr>I_T.HA.MA</vt:lpstr>
      <vt:lpstr>I_T.HA.OT</vt:lpstr>
      <vt:lpstr>I_T.HA.TA</vt:lpstr>
      <vt:lpstr>I_T.HA.TO</vt:lpstr>
      <vt:lpstr>iactivo</vt:lpstr>
      <vt:lpstr>ID</vt:lpstr>
      <vt:lpstr>M</vt:lpstr>
      <vt:lpstr>M_FA</vt:lpstr>
      <vt:lpstr>M_FE</vt:lpstr>
      <vt:lpstr>M_HE</vt:lpstr>
      <vt:lpstr>M_LB</vt:lpstr>
      <vt:lpstr>M_LL</vt:lpstr>
      <vt:lpstr>M_TB</vt:lpstr>
      <vt:lpstr>M_TF</vt:lpstr>
      <vt:lpstr>M_UA</vt:lpstr>
      <vt:lpstr>NameDep</vt:lpstr>
      <vt:lpstr>O_FA</vt:lpstr>
      <vt:lpstr>O_FE</vt:lpstr>
      <vt:lpstr>O_HA</vt:lpstr>
      <vt:lpstr>O_HE</vt:lpstr>
      <vt:lpstr>O_LB</vt:lpstr>
      <vt:lpstr>O_LL</vt:lpstr>
      <vt:lpstr>O_TB</vt:lpstr>
      <vt:lpstr>O_TF</vt:lpstr>
      <vt:lpstr>O_UA</vt:lpstr>
      <vt:lpstr>Observador</vt:lpstr>
      <vt:lpstr>P_D.BP</vt:lpstr>
      <vt:lpstr>P_E.BP</vt:lpstr>
      <vt:lpstr>P_E.HA</vt:lpstr>
      <vt:lpstr>P_T.BP.FL</vt:lpstr>
      <vt:lpstr>P_T.BP.MA</vt:lpstr>
      <vt:lpstr>P_T.BP.OT</vt:lpstr>
      <vt:lpstr>P_T.BP.TA</vt:lpstr>
      <vt:lpstr>P_T.BP.TO</vt:lpstr>
      <vt:lpstr>P_T.HA.FL</vt:lpstr>
      <vt:lpstr>P_T.HA.MA</vt:lpstr>
      <vt:lpstr>P_T.HA.OT</vt:lpstr>
      <vt:lpstr>P_T.HA.TA</vt:lpstr>
      <vt:lpstr>P_T.HA.TO</vt:lpstr>
      <vt:lpstr>PFM_BP</vt:lpstr>
      <vt:lpstr>PFM_HA</vt:lpstr>
      <vt:lpstr>PS</vt:lpstr>
      <vt:lpstr>puesto</vt:lpstr>
      <vt:lpstr>RF</vt:lpstr>
      <vt:lpstr>RF_FA</vt:lpstr>
      <vt:lpstr>RF_FE</vt:lpstr>
      <vt:lpstr>RF_HE</vt:lpstr>
      <vt:lpstr>RF_LB</vt:lpstr>
      <vt:lpstr>RF_LL</vt:lpstr>
      <vt:lpstr>RF_TB</vt:lpstr>
      <vt:lpstr>RF_TF</vt:lpstr>
      <vt:lpstr>RF_UA</vt:lpstr>
      <vt:lpstr>RTD_CAT</vt:lpstr>
      <vt:lpstr>Skin_Job</vt:lpstr>
      <vt:lpstr>SS</vt:lpstr>
      <vt:lpstr>T_BP.FL</vt:lpstr>
      <vt:lpstr>T_BP.MA</vt:lpstr>
      <vt:lpstr>T_BP.OT</vt:lpstr>
      <vt:lpstr>T_BP.TA</vt:lpstr>
      <vt:lpstr>T_BP.TO</vt:lpstr>
      <vt:lpstr>T_FA</vt:lpstr>
      <vt:lpstr>T_FA1</vt:lpstr>
      <vt:lpstr>T_FE</vt:lpstr>
      <vt:lpstr>T_FE1</vt:lpstr>
      <vt:lpstr>T_HA.FL</vt:lpstr>
      <vt:lpstr>T_HA.MA</vt:lpstr>
      <vt:lpstr>T_HA.OT</vt:lpstr>
      <vt:lpstr>T_HA.TA</vt:lpstr>
      <vt:lpstr>T_HA.TO</vt:lpstr>
      <vt:lpstr>T_HE</vt:lpstr>
      <vt:lpstr>T_HE1</vt:lpstr>
      <vt:lpstr>T_LB</vt:lpstr>
      <vt:lpstr>T_LB1</vt:lpstr>
      <vt:lpstr>T_LL</vt:lpstr>
      <vt:lpstr>T_LL1</vt:lpstr>
      <vt:lpstr>T_TB</vt:lpstr>
      <vt:lpstr>T_TB1</vt:lpstr>
      <vt:lpstr>T_TF</vt:lpstr>
      <vt:lpstr>T_TF1</vt:lpstr>
      <vt:lpstr>T_TOT</vt:lpstr>
      <vt:lpstr>T_UA</vt:lpstr>
      <vt:lpstr>T_UA1</vt:lpstr>
      <vt:lpstr>Tarea</vt:lpstr>
      <vt:lpstr>UG</vt:lpstr>
      <vt:lpstr>URF</vt:lpstr>
      <vt:lpstr>V</vt:lpstr>
      <vt:lpstr>WH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2023-03-28T17:37:02Z</dcterms:modified>
</cp:coreProperties>
</file>