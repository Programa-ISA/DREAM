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5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7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drawings/drawing8.xml" ContentType="application/vnd.openxmlformats-officedocument.drawing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drawings/drawing9.xml" ContentType="application/vnd.openxmlformats-officedocument.drawing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drawings/drawing10.xml" ContentType="application/vnd.openxmlformats-officedocument.drawing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drawings/drawing11.xml" ContentType="application/vnd.openxmlformats-officedocument.drawing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/>
  <xr:revisionPtr revIDLastSave="178" documentId="13_ncr:1_{C0BED654-DD4B-4EB5-B8F4-4A8C55B60BED}" xr6:coauthVersionLast="47" xr6:coauthVersionMax="47" xr10:uidLastSave="{FDEFAF81-92C4-440F-83E7-6F1E831E3FB3}"/>
  <bookViews>
    <workbookView showSheetTabs="0" xWindow="-120" yWindow="-120" windowWidth="29040" windowHeight="15840" tabRatio="740" firstSheet="1" activeTab="5" autoFilterDateGrouping="0" xr2:uid="{00000000-000D-0000-FFFF-FFFF00000000}"/>
  </bookViews>
  <sheets>
    <sheet name="Inicio" sheetId="14" r:id="rId1"/>
    <sheet name="1. Empresa" sheetId="1" r:id="rId2"/>
    <sheet name="2. Departamento" sheetId="6" r:id="rId3"/>
    <sheet name="3. Puesto" sheetId="8" r:id="rId4"/>
    <sheet name="4. Tarea" sheetId="9" r:id="rId5"/>
    <sheet name="5. Agente" sheetId="7" r:id="rId6"/>
    <sheet name="6. Emisión" sheetId="10" r:id="rId7"/>
    <sheet name="6. Deposición" sheetId="17" r:id="rId8"/>
    <sheet name="6. Transferencia" sheetId="11" r:id="rId9"/>
    <sheet name="6. Protección Guantes" sheetId="12" r:id="rId10"/>
    <sheet name="6. Protección Ropa" sheetId="13" r:id="rId11"/>
    <sheet name="Data" sheetId="3" r:id="rId12"/>
  </sheets>
  <definedNames>
    <definedName name="_5.1._Solamente_en_caso_de_ser_un_sólido" localSheetId="7">'5. Agente'!#REF!</definedName>
    <definedName name="_5.1._Solamente_en_caso_de_ser_un_sólido">'5. Agente'!#REF!</definedName>
    <definedName name="_6.1" localSheetId="7">'6. Deposición'!#REF!</definedName>
    <definedName name="_6.1">'6. Emisión'!$I$4</definedName>
    <definedName name="_ftn1" localSheetId="4">'4. Tarea'!#REF!</definedName>
    <definedName name="_ftn2" localSheetId="7">'6. Deposición'!#REF!</definedName>
    <definedName name="_ftn2" localSheetId="6">'6. Emisión'!#REF!</definedName>
    <definedName name="_ftn3" localSheetId="7">'6. Deposición'!#REF!</definedName>
    <definedName name="_ftn3" localSheetId="6">'6. Emisión'!#REF!</definedName>
    <definedName name="_ftn4" localSheetId="7">'6. Deposición'!#REF!</definedName>
    <definedName name="_ftn4" localSheetId="6">'6. Emisión'!#REF!</definedName>
    <definedName name="_ftn5" localSheetId="7">'6. Deposición'!#REF!</definedName>
    <definedName name="_ftn5" localSheetId="6">'6. Emisión'!#REF!</definedName>
    <definedName name="_ftn6" localSheetId="7">'6. Deposición'!#REF!</definedName>
    <definedName name="_ftn6" localSheetId="6">'6. Emisión'!#REF!</definedName>
    <definedName name="_ftn7" localSheetId="7">'6. Deposición'!#REF!</definedName>
    <definedName name="_ftn7" localSheetId="6">'6. Emisión'!#REF!</definedName>
    <definedName name="_ftnref1" localSheetId="4">'4. Tarea'!#REF!</definedName>
    <definedName name="_ftnref2" localSheetId="7">'6. Deposición'!#REF!</definedName>
    <definedName name="_ftnref2" localSheetId="6">'6. Emisión'!#REF!</definedName>
    <definedName name="_ftnref3" localSheetId="7">'6. Deposición'!#REF!</definedName>
    <definedName name="_ftnref3" localSheetId="6">'6. Emisión'!#REF!</definedName>
    <definedName name="_ftnref4" localSheetId="7">'6. Deposición'!#REF!</definedName>
    <definedName name="_ftnref4" localSheetId="6">'6. Emisión'!#REF!</definedName>
    <definedName name="_ftnref5" localSheetId="7">#REF!</definedName>
    <definedName name="_ftnref5" localSheetId="6">#REF!</definedName>
    <definedName name="_ftnref6" localSheetId="7">#REF!</definedName>
    <definedName name="_ftnref6" localSheetId="6">#REF!</definedName>
    <definedName name="_ftnref7" localSheetId="7">#REF!</definedName>
    <definedName name="_ftnref7" localSheetId="6">#REF!</definedName>
    <definedName name="agente">'5. Agente'!$D$4</definedName>
    <definedName name="agente2">F4C4</definedName>
    <definedName name="B_25">'6. Deposición'!#REF!</definedName>
    <definedName name="BC">'6. Protección Guantes'!$I$10</definedName>
    <definedName name="brazosuperior" localSheetId="7">'6. Deposición'!$J$9</definedName>
    <definedName name="brazosuperior">'6. Emisión'!$J$11</definedName>
    <definedName name="C_FA">'6. Protección Ropa'!$O$9</definedName>
    <definedName name="C_FE">'6. Protección Ropa'!$O$15</definedName>
    <definedName name="C_HE">'6. Protección Ropa'!$O$7</definedName>
    <definedName name="C_LB">'6. Protección Ropa'!$O$12</definedName>
    <definedName name="C_LL">'6. Protección Ropa'!$O$13</definedName>
    <definedName name="C_TB">'6. Protección Ropa'!$O$11</definedName>
    <definedName name="C_TF">'6. Protección Ropa'!$O$10</definedName>
    <definedName name="C_UA">'6. Protección Ropa'!$O$8</definedName>
    <definedName name="cabeza" localSheetId="7">'6. Deposición'!$J$8</definedName>
    <definedName name="cabeza">'6. Emisión'!$J$10</definedName>
    <definedName name="CE">'3. Puesto'!$I$7</definedName>
    <definedName name="Cn">'5. Agente'!$H$6</definedName>
    <definedName name="D_FA">'6. Deposición'!$L$10</definedName>
    <definedName name="D_FA1">'6. Deposición'!$J$10</definedName>
    <definedName name="D_FE">'6. Deposición'!$L$16</definedName>
    <definedName name="D_FE1">'6. Deposición'!$J$16</definedName>
    <definedName name="D_HA">'6. Deposición'!$L$11</definedName>
    <definedName name="D_HA1">'6. Deposición'!$J$11</definedName>
    <definedName name="D_HE">'6. Deposición'!$L$8</definedName>
    <definedName name="D_HE1">'6. Deposición'!$J$8</definedName>
    <definedName name="D_LB">'6. Deposición'!$L$14</definedName>
    <definedName name="D_LB1">'6. Deposición'!$J$14</definedName>
    <definedName name="D_LL">'6. Deposición'!$L$15</definedName>
    <definedName name="D_LL1">'6. Deposición'!$J$15</definedName>
    <definedName name="D_TB">'6. Deposición'!$L$13</definedName>
    <definedName name="D_TB1">'6. Deposición'!$J$13</definedName>
    <definedName name="D_TF">'6. Deposición'!$L$12</definedName>
    <definedName name="D_TF1">'6. Deposición'!$J$12</definedName>
    <definedName name="D_TOT">'6. Deposición'!$L$17</definedName>
    <definedName name="D_UA">'6. Deposición'!$L$9</definedName>
    <definedName name="D_UA1">'6. Deposición'!$J$9</definedName>
    <definedName name="Data_A">Data!$FO$5</definedName>
    <definedName name="Data_Agente">Data!$T$5</definedName>
    <definedName name="Data_B">Data!$FY$5</definedName>
    <definedName name="Data_C">Data!$GI$5</definedName>
    <definedName name="Data_D">Data!$GR$5</definedName>
    <definedName name="Data_Departamento">Data!$E$5</definedName>
    <definedName name="Data_Deposicion">Data!$BD$5</definedName>
    <definedName name="Data_E">Data!$HB$5</definedName>
    <definedName name="Data_Emision">Data!$AG$5</definedName>
    <definedName name="Data_Empresa">Data!$A$5</definedName>
    <definedName name="Data_F">Data!$HL$5</definedName>
    <definedName name="Data_G">Data!$HN$5</definedName>
    <definedName name="Data_Guantes">Data!$DX$5</definedName>
    <definedName name="Data_Puesto">Data!$K$5</definedName>
    <definedName name="Data_Ropa">Data!$EH$5</definedName>
    <definedName name="Data_Tarea">Data!$R$5</definedName>
    <definedName name="Data_Transferencia">Data!$BZ$5</definedName>
    <definedName name="DD_HE1">'6. Deposición'!$J$8</definedName>
    <definedName name="DU">'5. Agente'!$H$15</definedName>
    <definedName name="E_FA">'6. Emisión'!$L$12</definedName>
    <definedName name="E_FA1">'6. Emisión'!$J$12</definedName>
    <definedName name="E_FE">'6. Emisión'!$L$17</definedName>
    <definedName name="E_FE1">'6. Emisión'!$J$17</definedName>
    <definedName name="E_HA">'6. Emisión'!$L$5</definedName>
    <definedName name="E_HE">'6. Emisión'!$L$10</definedName>
    <definedName name="E_HE1">'6. Emisión'!$J$10</definedName>
    <definedName name="E_LB">'6. Emisión'!$L$15</definedName>
    <definedName name="E_LB1">'6. Emisión'!$J$15</definedName>
    <definedName name="E_LL">'6. Emisión'!$L$16</definedName>
    <definedName name="E_LL1">'6. Emisión'!$J$16</definedName>
    <definedName name="E_TB">'6. Emisión'!$L$14</definedName>
    <definedName name="E_TB1">'6. Emisión'!$J$14</definedName>
    <definedName name="E_TF">'6. Emisión'!$L$13</definedName>
    <definedName name="E_TF1">'6. Emisión'!$J$13</definedName>
    <definedName name="E_TOT">'6. Emisión'!$L$18</definedName>
    <definedName name="E_UA">'6. Emisión'!$L$11</definedName>
    <definedName name="E_UA1">'6. Emisión'!$J$11</definedName>
    <definedName name="EC_1">'3. Puesto'!$G$5</definedName>
    <definedName name="EC_2">'3. Puesto'!$G$6</definedName>
    <definedName name="EC_3">'3. Puesto'!$G$7</definedName>
    <definedName name="EH">'2. Departamento'!$J$15</definedName>
    <definedName name="EH_FL">'2. Departamento'!$H$5</definedName>
    <definedName name="EH_MC">'2. Departamento'!$H$12</definedName>
    <definedName name="EH_TO">'2. Departamento'!$H$15</definedName>
    <definedName name="EH_WT">'2. Departamento'!$H$9</definedName>
    <definedName name="Ei">'5. Agente'!$H$28</definedName>
    <definedName name="Ei_L">'5. Agente'!$H$25</definedName>
    <definedName name="Ei_S">'5. Agente'!$H$24</definedName>
    <definedName name="Ei_V">'5. Agente'!$H$26</definedName>
    <definedName name="Empresa">'1. Empresa'!$C$7</definedName>
    <definedName name="ER_D">'6. Deposición'!$L$5</definedName>
    <definedName name="ER_E">'6. Emisión'!$L$4</definedName>
    <definedName name="ER_R">'6. Emisión'!$L$4</definedName>
    <definedName name="ER_T">'6. Transferencia'!$U$4</definedName>
    <definedName name="EV">'5. Agente'!$H$19</definedName>
    <definedName name="fecha">'1. Empresa'!$C$6</definedName>
    <definedName name="Fm">'5. Agente'!$H$12</definedName>
    <definedName name="forma" localSheetId="7">'5. Agente'!#REF!</definedName>
    <definedName name="forma">'5. Agente'!#REF!</definedName>
    <definedName name="GC">'6. Protección Guantes'!$I$5</definedName>
    <definedName name="GD">'6. Protección Guantes'!$I$6</definedName>
    <definedName name="I_D.BP">'6. Deposición'!$J$5</definedName>
    <definedName name="I_E.BP">'6. Emisión'!$J$7</definedName>
    <definedName name="I_E.HA">'6. Emisión'!$J$5</definedName>
    <definedName name="I_T.BP.FL">'6. Transferencia'!$S$13</definedName>
    <definedName name="I_T.BP.MA">'6. Transferencia'!$S$15</definedName>
    <definedName name="I_T.BP.OT">'6. Transferencia'!$S$17</definedName>
    <definedName name="I_T.BP.TA">'6. Transferencia'!$S$14</definedName>
    <definedName name="I_T.BP.TO">'6. Transferencia'!$S$16</definedName>
    <definedName name="I_T.HA.FL">'6. Transferencia'!$S$6</definedName>
    <definedName name="I_T.HA.MA">'6. Transferencia'!$S$8</definedName>
    <definedName name="I_T.HA.OT">'6. Transferencia'!$S$10</definedName>
    <definedName name="I_T.HA.TA">'6. Transferencia'!$S$7</definedName>
    <definedName name="I_T.HA.TO">'6. Transferencia'!$S$9</definedName>
    <definedName name="iactivo">'5. Agente'!$D$5</definedName>
    <definedName name="iactivo2">F5C4</definedName>
    <definedName name="ID">'1. Empresa'!$C$4</definedName>
    <definedName name="ingrediente">F5C4</definedName>
    <definedName name="limpieza">fecha</definedName>
    <definedName name="M">'6. Protección Guantes'!$I$4</definedName>
    <definedName name="M_FA">'6. Protección Ropa'!$Q$9</definedName>
    <definedName name="M_FE">'6. Protección Ropa'!$Q$15</definedName>
    <definedName name="M_HE">'6. Protección Ropa'!$Q$7</definedName>
    <definedName name="M_LB">'6. Protección Ropa'!$Q$12</definedName>
    <definedName name="M_LL">'6. Protección Ropa'!$Q$13</definedName>
    <definedName name="M_TB">'6. Protección Ropa'!$Q$11</definedName>
    <definedName name="M_TF">'6. Protección Ropa'!$Q$10</definedName>
    <definedName name="M_UA">'6. Protección Ropa'!$Q$8</definedName>
    <definedName name="maquinas" localSheetId="7">'1. Empresa'!#REF!</definedName>
    <definedName name="maquinas">'1. Empresa'!#REF!</definedName>
    <definedName name="mesas" localSheetId="7">'1. Empresa'!#REF!</definedName>
    <definedName name="mesas">'1. Empresa'!#REF!</definedName>
    <definedName name="NameDep">'2. Departamento'!$D$4</definedName>
    <definedName name="O_FA">'6. Protección Ropa'!$U$9</definedName>
    <definedName name="O_FE">'6. Protección Ropa'!$U$15</definedName>
    <definedName name="O_HA">'6. Protección Guantes'!$I$11</definedName>
    <definedName name="O_HE">'6. Protección Ropa'!$U$7</definedName>
    <definedName name="O_LB">'6. Protección Ropa'!$U$12</definedName>
    <definedName name="O_LL">'6. Protección Ropa'!$U$13</definedName>
    <definedName name="O_TB">'6. Protección Ropa'!$U$11</definedName>
    <definedName name="O_TF">'6. Protección Ropa'!$U$10</definedName>
    <definedName name="O_UA">'6. Protección Ropa'!$U$8</definedName>
    <definedName name="Observador">'1. Empresa'!$C$5</definedName>
    <definedName name="P_D.BP">'6. Deposición'!$J$4</definedName>
    <definedName name="P_E.BP">'6. Emisión'!$J$6</definedName>
    <definedName name="P_E.HA">'6. Emisión'!$J$4</definedName>
    <definedName name="P_T.BP.FL">'6. Transferencia'!$Q$13</definedName>
    <definedName name="P_T.BP.MA">'6. Transferencia'!$Q$15</definedName>
    <definedName name="P_T.BP.OT">'6. Transferencia'!$Q$17</definedName>
    <definedName name="P_T.BP.TA">'6. Transferencia'!$Q$14</definedName>
    <definedName name="P_T.BP.TO">'6. Transferencia'!$Q$16</definedName>
    <definedName name="P_T.HA.FL">'6. Transferencia'!$Q$6</definedName>
    <definedName name="P_T.HA.MA">'6. Transferencia'!$Q$8</definedName>
    <definedName name="P_T.HA.OT">'6. Transferencia'!$Q$10</definedName>
    <definedName name="P_T.HA.TA">'6. Transferencia'!$Q$7</definedName>
    <definedName name="P_T.HA.TO">'6. Transferencia'!$Q$9</definedName>
    <definedName name="PFM_BP">'6. Protección Ropa'!$U$6</definedName>
    <definedName name="PFM_HA">'6. Protección Guantes'!$I$1</definedName>
    <definedName name="piso" localSheetId="7">'1. Empresa'!#REF!</definedName>
    <definedName name="piso">'1. Empresa'!#REF!</definedName>
    <definedName name="PS" localSheetId="7">'5. Agente'!#REF!</definedName>
    <definedName name="PS">'5. Agente'!$H$9</definedName>
    <definedName name="puesto">'3. Puesto'!$D$4</definedName>
    <definedName name="RF">'6. Protección Guantes'!$I$7</definedName>
    <definedName name="RF_FA">'6. Protección Ropa'!$S$9</definedName>
    <definedName name="RF_FE">'6. Protección Ropa'!$S$15</definedName>
    <definedName name="RF_HE">'6. Protección Ropa'!$S$7</definedName>
    <definedName name="RF_LB">'6. Protección Ropa'!$S$12</definedName>
    <definedName name="RF_LL">'6. Protección Ropa'!$S$13</definedName>
    <definedName name="RF_TB">'6. Protección Ropa'!$S$11</definedName>
    <definedName name="RF_TF">'6. Protección Ropa'!$S$10</definedName>
    <definedName name="RF_UA">'6. Protección Ropa'!$S$8</definedName>
    <definedName name="RTD_CAT">'4. Tarea'!$G$5</definedName>
    <definedName name="Skin_Job">Data!$HN$5</definedName>
    <definedName name="SS">'5. Agente'!$H$17</definedName>
    <definedName name="T_BP">'6. Transferencia'!#REF!</definedName>
    <definedName name="T_BP.FL">'6. Transferencia'!$U$13</definedName>
    <definedName name="T_BP.MA">'6. Transferencia'!$U$15</definedName>
    <definedName name="T_BP.OT">'6. Transferencia'!$U$17</definedName>
    <definedName name="T_BP.TA">'6. Transferencia'!$U$14</definedName>
    <definedName name="T_BP.TO">'6. Transferencia'!$U$16</definedName>
    <definedName name="T_FA">'6. Transferencia'!$S$22</definedName>
    <definedName name="T_FA1">'6. Transferencia'!$Q$22</definedName>
    <definedName name="T_FE">'6. Transferencia'!$S$27</definedName>
    <definedName name="T_FE1">'6. Transferencia'!$Q$27</definedName>
    <definedName name="T_HA">'6. Transferencia'!#REF!</definedName>
    <definedName name="T_HA.FL">'6. Transferencia'!$U$6</definedName>
    <definedName name="T_HA.MA">'6. Transferencia'!$U$8</definedName>
    <definedName name="T_HA.OT">'6. Transferencia'!$U$10</definedName>
    <definedName name="T_HA.TA">'6. Transferencia'!$U$7</definedName>
    <definedName name="T_HA.TO">'6. Transferencia'!$U$9</definedName>
    <definedName name="T_HE">'6. Transferencia'!$S$20</definedName>
    <definedName name="T_HE1">'6. Transferencia'!$Q$20</definedName>
    <definedName name="T_LB">'6. Transferencia'!$S$25</definedName>
    <definedName name="T_LB1">'6. Transferencia'!$Q$25</definedName>
    <definedName name="T_LL">'6. Transferencia'!$S$26</definedName>
    <definedName name="T_LL1">'6. Transferencia'!$Q$26</definedName>
    <definedName name="T_TB">'6. Transferencia'!$S$24</definedName>
    <definedName name="T_TB1">'6. Transferencia'!$Q$24</definedName>
    <definedName name="T_TF">'6. Transferencia'!$S$23</definedName>
    <definedName name="T_TF1">'6. Transferencia'!$Q$23</definedName>
    <definedName name="T_TOT">'6. Transferencia'!$S$28</definedName>
    <definedName name="T_UA">'6. Transferencia'!$S$21</definedName>
    <definedName name="T_UA1">'6. Transferencia'!$Q$21</definedName>
    <definedName name="Tarea">'4. Tarea'!$D$4</definedName>
    <definedName name="tools" localSheetId="7">'1. Empresa'!#REF!</definedName>
    <definedName name="tools">'1. Empresa'!#REF!</definedName>
    <definedName name="UG">'6. Protección Guantes'!$I$8</definedName>
    <definedName name="URF">'6. Protección Guantes'!$I$9</definedName>
    <definedName name="V">'5. Agente'!$H$20</definedName>
    <definedName name="WH">'3. Puesto'!$G$8</definedName>
    <definedName name="X">'6. Deposición'!#REF!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5" i="17" l="1"/>
  <c r="J7" i="10"/>
  <c r="J5" i="10"/>
  <c r="H9" i="7" l="1"/>
  <c r="J16" i="17" l="1"/>
  <c r="J15" i="17"/>
  <c r="J14" i="17"/>
  <c r="J13" i="17"/>
  <c r="J12" i="17"/>
  <c r="J11" i="17"/>
  <c r="J10" i="17"/>
  <c r="J9" i="17"/>
  <c r="J8" i="17"/>
  <c r="J4" i="17"/>
  <c r="J6" i="10" l="1"/>
  <c r="J4" i="10"/>
  <c r="S15" i="13" l="1"/>
  <c r="Q15" i="13"/>
  <c r="S8" i="13" l="1"/>
  <c r="S9" i="13"/>
  <c r="S10" i="13"/>
  <c r="S11" i="13"/>
  <c r="S12" i="13"/>
  <c r="S13" i="13"/>
  <c r="S7" i="13" l="1"/>
  <c r="O8" i="13" l="1"/>
  <c r="O9" i="13"/>
  <c r="O10" i="13"/>
  <c r="O11" i="13"/>
  <c r="O12" i="13"/>
  <c r="O13" i="13"/>
  <c r="O15" i="13"/>
  <c r="O7" i="13"/>
  <c r="U15" i="13" l="1"/>
  <c r="J17" i="10"/>
  <c r="Q13" i="13" l="1"/>
  <c r="Q12" i="13"/>
  <c r="Q11" i="13"/>
  <c r="Q10" i="13"/>
  <c r="Q9" i="13"/>
  <c r="U9" i="13" s="1"/>
  <c r="Q8" i="13"/>
  <c r="U8" i="13" s="1"/>
  <c r="Q7" i="13"/>
  <c r="U7" i="13" s="1"/>
  <c r="U11" i="13" l="1"/>
  <c r="U12" i="13"/>
  <c r="U10" i="13"/>
  <c r="U13" i="13"/>
  <c r="I10" i="12"/>
  <c r="I9" i="12"/>
  <c r="I8" i="12"/>
  <c r="G5" i="9" l="1"/>
  <c r="H20" i="7"/>
  <c r="H19" i="7"/>
  <c r="H17" i="7"/>
  <c r="H15" i="7"/>
  <c r="H12" i="7"/>
  <c r="H6" i="7"/>
  <c r="H24" i="7" l="1"/>
  <c r="H26" i="7"/>
  <c r="H25" i="7"/>
  <c r="G8" i="8"/>
  <c r="I8" i="8" s="1"/>
  <c r="G7" i="8"/>
  <c r="G6" i="8"/>
  <c r="G5" i="8"/>
  <c r="H15" i="6"/>
  <c r="H12" i="6"/>
  <c r="H9" i="6"/>
  <c r="H28" i="7" l="1"/>
  <c r="I7" i="8"/>
  <c r="H5" i="6"/>
  <c r="J15" i="6" s="1"/>
  <c r="U3" i="11" l="1"/>
  <c r="L4" i="17"/>
  <c r="L3" i="10"/>
  <c r="I7" i="12"/>
  <c r="L15" i="17" l="1"/>
  <c r="L14" i="17"/>
  <c r="L10" i="17"/>
  <c r="L12" i="17"/>
  <c r="L8" i="17"/>
  <c r="L16" i="17"/>
  <c r="L9" i="17"/>
  <c r="L11" i="17"/>
  <c r="L13" i="17"/>
  <c r="L17" i="10"/>
  <c r="I6" i="12"/>
  <c r="I5" i="12"/>
  <c r="L17" i="17" l="1"/>
  <c r="I4" i="12"/>
  <c r="Q27" i="11"/>
  <c r="Q26" i="11"/>
  <c r="Q25" i="11"/>
  <c r="Q21" i="11"/>
  <c r="Q22" i="11"/>
  <c r="Q23" i="11"/>
  <c r="Q24" i="11"/>
  <c r="Q20" i="11"/>
  <c r="S15" i="11"/>
  <c r="S16" i="11"/>
  <c r="S17" i="11"/>
  <c r="S14" i="11"/>
  <c r="S13" i="11"/>
  <c r="Q17" i="11"/>
  <c r="Q16" i="11"/>
  <c r="Q15" i="11"/>
  <c r="Q14" i="11"/>
  <c r="Q13" i="11"/>
  <c r="U13" i="11" l="1"/>
  <c r="U17" i="11"/>
  <c r="U14" i="11"/>
  <c r="U15" i="11"/>
  <c r="U16" i="11"/>
  <c r="S10" i="11"/>
  <c r="S9" i="11"/>
  <c r="S8" i="11"/>
  <c r="S7" i="11"/>
  <c r="S6" i="11"/>
  <c r="S24" i="11" l="1"/>
  <c r="Q10" i="11"/>
  <c r="U10" i="11" s="1"/>
  <c r="Q9" i="11"/>
  <c r="U9" i="11" s="1"/>
  <c r="Q8" i="11"/>
  <c r="U8" i="11" s="1"/>
  <c r="S20" i="11" l="1"/>
  <c r="S26" i="11"/>
  <c r="S25" i="11"/>
  <c r="S23" i="11"/>
  <c r="S22" i="11"/>
  <c r="S27" i="11"/>
  <c r="S21" i="11"/>
  <c r="Q7" i="11"/>
  <c r="U7" i="11" s="1"/>
  <c r="Q6" i="11" l="1"/>
  <c r="J16" i="10"/>
  <c r="L16" i="10" s="1"/>
  <c r="J15" i="10"/>
  <c r="L15" i="10" s="1"/>
  <c r="J14" i="10"/>
  <c r="L14" i="10" s="1"/>
  <c r="J13" i="10"/>
  <c r="L13" i="10" s="1"/>
  <c r="J12" i="10"/>
  <c r="L12" i="10" s="1"/>
  <c r="U6" i="11" l="1"/>
  <c r="L5" i="10"/>
  <c r="J10" i="10"/>
  <c r="L10" i="10" s="1"/>
  <c r="S28" i="11" l="1"/>
  <c r="J11" i="10"/>
  <c r="L11" i="10" s="1"/>
  <c r="L18" i="10" s="1"/>
</calcChain>
</file>

<file path=xl/sharedStrings.xml><?xml version="1.0" encoding="utf-8"?>
<sst xmlns="http://schemas.openxmlformats.org/spreadsheetml/2006/main" count="607" uniqueCount="420">
  <si>
    <t>Observador (nombre y apellidos):</t>
  </si>
  <si>
    <t>Fecha (dd-mm-aaaa):</t>
  </si>
  <si>
    <t>EH_FL</t>
  </si>
  <si>
    <t>EH_WT</t>
  </si>
  <si>
    <t>EH_MC</t>
  </si>
  <si>
    <t>EH_TO</t>
  </si>
  <si>
    <t>¿Los trabajadores se cambian su ropa inmediatamente después del trabajo?</t>
  </si>
  <si>
    <t>¿Los trabajadores se bañan inmediatamente después de terminar su trabajo?</t>
  </si>
  <si>
    <t>Vínculo</t>
  </si>
  <si>
    <t>Valor</t>
  </si>
  <si>
    <t>1.1</t>
  </si>
  <si>
    <t>2.1</t>
  </si>
  <si>
    <t>2.2</t>
  </si>
  <si>
    <t xml:space="preserve">Partes de cuerpo </t>
  </si>
  <si>
    <t>Contacto</t>
  </si>
  <si>
    <t>Cabeza/ cuello</t>
  </si>
  <si>
    <t>Brazo superior</t>
  </si>
  <si>
    <t>Brazo inferior</t>
  </si>
  <si>
    <t>Muñeca/manos</t>
  </si>
  <si>
    <t xml:space="preserve">Torso (frontal) </t>
  </si>
  <si>
    <t xml:space="preserve">Torso (espalda) </t>
  </si>
  <si>
    <t>Parte inferior del abdomen y muslos</t>
  </si>
  <si>
    <t>Piernas</t>
  </si>
  <si>
    <t>Pies</t>
  </si>
  <si>
    <t>ID</t>
  </si>
  <si>
    <t>Observador</t>
  </si>
  <si>
    <t>Empresa</t>
  </si>
  <si>
    <t>Fecha</t>
  </si>
  <si>
    <t xml:space="preserve">Pregunta </t>
  </si>
  <si>
    <t>Estime el grado de contaminación de la superficie de contacto</t>
  </si>
  <si>
    <t>Piso</t>
  </si>
  <si>
    <t>Mesas de trabajo</t>
  </si>
  <si>
    <t>Maquinas</t>
  </si>
  <si>
    <t>Herramientas de trabajo</t>
  </si>
  <si>
    <t>Otras superficies</t>
  </si>
  <si>
    <t>5.1</t>
  </si>
  <si>
    <t>Partes del cuerpo</t>
  </si>
  <si>
    <t>Contacto por transferencia</t>
  </si>
  <si>
    <t>Superficie</t>
  </si>
  <si>
    <t xml:space="preserve">Ocasionalmente (1) </t>
  </si>
  <si>
    <t>Improbable 
(0)</t>
  </si>
  <si>
    <t xml:space="preserve">Repetitivamente
(3)                             </t>
  </si>
  <si>
    <t>Posiblemente Contaminada 
(1)</t>
  </si>
  <si>
    <t>&lt; 50% de la superficie de contacto
 (3)</t>
  </si>
  <si>
    <t xml:space="preserve">Superficie </t>
  </si>
  <si>
    <t>Vínculo contacto</t>
  </si>
  <si>
    <t>Vinculo grado</t>
  </si>
  <si>
    <t>Parte</t>
  </si>
  <si>
    <t>¿El trabajador usa guantes al realizar la tarea?</t>
  </si>
  <si>
    <t>6.1</t>
  </si>
  <si>
    <t>¿Guantes se conectan bien con la ropa de los brazos?</t>
  </si>
  <si>
    <t>Cuando se realice la tarea, los guantes son usados durante:</t>
  </si>
  <si>
    <t>6.7</t>
  </si>
  <si>
    <t>6.8</t>
  </si>
  <si>
    <t>6.10</t>
  </si>
  <si>
    <t>¿Cómo se limpia el piso?</t>
  </si>
  <si>
    <t>¿Cómo se limpian las mesas de trabajo?</t>
  </si>
  <si>
    <t>¿Cómo se limpian las máquinas?</t>
  </si>
  <si>
    <t>¿Cómo se limpian las herramientas de trabajo?</t>
  </si>
  <si>
    <t>2.3</t>
  </si>
  <si>
    <t>2.4</t>
  </si>
  <si>
    <t>¿El agente es puro, mezcla o residuo?</t>
  </si>
  <si>
    <t>5.2</t>
  </si>
  <si>
    <t>5.3</t>
  </si>
  <si>
    <t>6.2</t>
  </si>
  <si>
    <t>¿Utiliza un segundo par de guantes por debajo del guante externo?</t>
  </si>
  <si>
    <t>11.1</t>
  </si>
  <si>
    <t>6.11</t>
  </si>
  <si>
    <t>¿Utiliza crema barrera?</t>
  </si>
  <si>
    <t>¿Cubierto?</t>
  </si>
  <si>
    <t>Cabeza y cuello</t>
  </si>
  <si>
    <t>Brazo</t>
  </si>
  <si>
    <t>Antebrazo</t>
  </si>
  <si>
    <t>Torso</t>
  </si>
  <si>
    <t xml:space="preserve">Espalda </t>
  </si>
  <si>
    <t>Abdomen inferior y muslos</t>
  </si>
  <si>
    <t xml:space="preserve">Pierna </t>
  </si>
  <si>
    <t xml:space="preserve">Pie </t>
  </si>
  <si>
    <t>Parte del cuerpo</t>
  </si>
  <si>
    <t>Vínculo cubierto</t>
  </si>
  <si>
    <t>Valor cubierto</t>
  </si>
  <si>
    <t>Sí</t>
  </si>
  <si>
    <t>Vínculo material</t>
  </si>
  <si>
    <t>Valor material</t>
  </si>
  <si>
    <t>Después de la jornada 
(0.3)</t>
  </si>
  <si>
    <t>Vínculo frecuencia</t>
  </si>
  <si>
    <t>Valor frecuencia</t>
  </si>
  <si>
    <t>EH</t>
  </si>
  <si>
    <t>Ei</t>
  </si>
  <si>
    <t>Ei_S</t>
  </si>
  <si>
    <t>Ei_L</t>
  </si>
  <si>
    <t>Ei_V</t>
  </si>
  <si>
    <t>E_HA</t>
  </si>
  <si>
    <t>Lower Body</t>
  </si>
  <si>
    <t>Torso Front</t>
  </si>
  <si>
    <t>E_HE</t>
  </si>
  <si>
    <t>E_UA</t>
  </si>
  <si>
    <t>Upper Arms</t>
  </si>
  <si>
    <t>Head</t>
  </si>
  <si>
    <t>Forearms</t>
  </si>
  <si>
    <t>Torso Back</t>
  </si>
  <si>
    <t>Feet</t>
  </si>
  <si>
    <t>Lower Legs</t>
  </si>
  <si>
    <t>CALCULO METODO</t>
  </si>
  <si>
    <t>E_TOT</t>
  </si>
  <si>
    <t>D_UA</t>
  </si>
  <si>
    <t>Hands</t>
  </si>
  <si>
    <t>T_HA</t>
  </si>
  <si>
    <t>Cálculo Método</t>
  </si>
  <si>
    <t>T_BP</t>
  </si>
  <si>
    <t>T_HE</t>
  </si>
  <si>
    <t>T_FE</t>
  </si>
  <si>
    <t>T_LL</t>
  </si>
  <si>
    <t>T_LB</t>
  </si>
  <si>
    <t>T_TB</t>
  </si>
  <si>
    <t>T_TF</t>
  </si>
  <si>
    <t>T_UA</t>
  </si>
  <si>
    <t>T_FA</t>
  </si>
  <si>
    <t>T_TOT</t>
  </si>
  <si>
    <t>D_TOT</t>
  </si>
  <si>
    <t>E_FA</t>
  </si>
  <si>
    <t>E_TF</t>
  </si>
  <si>
    <t>E_TB</t>
  </si>
  <si>
    <t>E_LB</t>
  </si>
  <si>
    <t>E_LL</t>
  </si>
  <si>
    <t>E_FE</t>
  </si>
  <si>
    <t>D_HE</t>
  </si>
  <si>
    <t>D_FA</t>
  </si>
  <si>
    <t>D_HA</t>
  </si>
  <si>
    <t>D_TF</t>
  </si>
  <si>
    <t>D_TB</t>
  </si>
  <si>
    <t>D_LB</t>
  </si>
  <si>
    <t>D_LL</t>
  </si>
  <si>
    <t>D_FE</t>
  </si>
  <si>
    <t>O_HE</t>
  </si>
  <si>
    <t>O_UA</t>
  </si>
  <si>
    <t>Semanalmente (3)</t>
  </si>
  <si>
    <t xml:space="preserve">PFM_BP </t>
  </si>
  <si>
    <t>O_FA</t>
  </si>
  <si>
    <t>O_FE</t>
  </si>
  <si>
    <t>O_LL</t>
  </si>
  <si>
    <t>O_LB</t>
  </si>
  <si>
    <t>O_TB</t>
  </si>
  <si>
    <t>O_TF</t>
  </si>
  <si>
    <t>O_HA</t>
  </si>
  <si>
    <t>Botas de Hule (0.03)</t>
  </si>
  <si>
    <t>Zapatos cerrados (0.1)</t>
  </si>
  <si>
    <t>Zapatos abiertos (0.3)</t>
  </si>
  <si>
    <t>ER_E</t>
  </si>
  <si>
    <t>Impermeable 
(0.03)</t>
  </si>
  <si>
    <t>Mensualmente (10)</t>
  </si>
  <si>
    <t>Pregunta (E_BP1)</t>
  </si>
  <si>
    <t>ER_D</t>
  </si>
  <si>
    <t>Vínculo probabilidad</t>
  </si>
  <si>
    <t>Valor probabilidad</t>
  </si>
  <si>
    <t>Vinculo intensidad</t>
  </si>
  <si>
    <t>Valor intensidad</t>
  </si>
  <si>
    <t>T_HA.FL</t>
  </si>
  <si>
    <t>T_HA.TA</t>
  </si>
  <si>
    <t>T_HA.MA</t>
  </si>
  <si>
    <t>T_HA.TO</t>
  </si>
  <si>
    <t>T_HA.OT</t>
  </si>
  <si>
    <t>T_BP.FL</t>
  </si>
  <si>
    <t>T_BP.TA</t>
  </si>
  <si>
    <t>T_BP.MA</t>
  </si>
  <si>
    <t>T_BP.TO</t>
  </si>
  <si>
    <t>T_BP.OT</t>
  </si>
  <si>
    <t>ER_T</t>
  </si>
  <si>
    <t>PFM_HA</t>
  </si>
  <si>
    <t>Potential skin exposure per body part (Skin_P.PB)</t>
  </si>
  <si>
    <t>Actual skin exposure per body part (Skin_A.PB)</t>
  </si>
  <si>
    <t>Body Surface factor (BS_BP)</t>
  </si>
  <si>
    <t>Diariamente (0.3)</t>
  </si>
  <si>
    <t>Semanalmente (1)</t>
  </si>
  <si>
    <t>Mensualmente (3)</t>
  </si>
  <si>
    <t>Anualmente (10)</t>
  </si>
  <si>
    <t>Weighted actual exposure</t>
  </si>
  <si>
    <t>Weighted potencial exposure</t>
  </si>
  <si>
    <t>Solamente en caso de ser un líquido:
¿Cuál es la temperatura de ebullición del ingrediente activo?</t>
  </si>
  <si>
    <t>Deposición</t>
  </si>
  <si>
    <t>C</t>
  </si>
  <si>
    <t>PS</t>
  </si>
  <si>
    <t>F</t>
  </si>
  <si>
    <t>DU</t>
  </si>
  <si>
    <t xml:space="preserve">    op.Value = False</t>
  </si>
  <si>
    <t xml:space="preserve">    </t>
  </si>
  <si>
    <t xml:space="preserve">    Set op = ActiveSheet.Shapes("B_1").OLEFormat.Object</t>
  </si>
  <si>
    <t xml:space="preserve">    Set op = ActiveSheet.Shapes("B_2").OLEFormat.Object</t>
  </si>
  <si>
    <t xml:space="preserve">    Set op = ActiveSheet.Shapes("B_3").OLEFormat.Object</t>
  </si>
  <si>
    <t xml:space="preserve">    Set op = ActiveSheet.Shapes("B_4").OLEFormat.Object</t>
  </si>
  <si>
    <t xml:space="preserve">    Set op = ActiveSheet.Shapes("B_5").OLEFormat.Object</t>
  </si>
  <si>
    <t xml:space="preserve">    Set op = ActiveSheet.Shapes("B_6").OLEFormat.Object</t>
  </si>
  <si>
    <t xml:space="preserve">    Set op = ActiveSheet.Shapes("B_7").OLEFormat.Object</t>
  </si>
  <si>
    <t xml:space="preserve">    Set op = ActiveSheet.Shapes("B_8").OLEFormat.Object</t>
  </si>
  <si>
    <t xml:space="preserve">    Set op = ActiveSheet.Shapes("B_9").OLEFormat.Object</t>
  </si>
  <si>
    <t xml:space="preserve">    Set op = ActiveSheet.Shapes("B_10").OLEFormat.Object</t>
  </si>
  <si>
    <t xml:space="preserve">    Set op = ActiveSheet.Shapes("B_11").OLEFormat.Object</t>
  </si>
  <si>
    <t xml:space="preserve">    Set op = ActiveSheet.Shapes("B_12").OLEFormat.Object</t>
  </si>
  <si>
    <t xml:space="preserve">    Set op = ActiveSheet.Shapes("B_13").OLEFormat.Object</t>
  </si>
  <si>
    <t xml:space="preserve">    Set op = ActiveSheet.Shapes("B_14").OLEFormat.Object</t>
  </si>
  <si>
    <t xml:space="preserve">    Set op = ActiveSheet.Shapes("B_15").OLEFormat.Object</t>
  </si>
  <si>
    <t xml:space="preserve">    Set op = ActiveSheet.Shapes("B_16").OLEFormat.Object</t>
  </si>
  <si>
    <t xml:space="preserve">    Set op = ActiveSheet.Shapes("B_17").OLEFormat.Object</t>
  </si>
  <si>
    <t xml:space="preserve">    Set op = ActiveSheet.Shapes("B_18").OLEFormat.Object</t>
  </si>
  <si>
    <t xml:space="preserve">    Set op = ActiveSheet.Shapes("B_19").OLEFormat.Object</t>
  </si>
  <si>
    <t xml:space="preserve">    Set op = ActiveSheet.Shapes("B_20").OLEFormat.Object</t>
  </si>
  <si>
    <t xml:space="preserve">    Set op = ActiveSheet.Shapes("B_21").OLEFormat.Object</t>
  </si>
  <si>
    <t xml:space="preserve">    Set op = ActiveSheet.Shapes("B_22").OLEFormat.Object</t>
  </si>
  <si>
    <t xml:space="preserve">    Set op = ActiveSheet.Shapes("B_23").OLEFormat.Object</t>
  </si>
  <si>
    <t xml:space="preserve">    Set op = ActiveSheet.Shapes("B_24").OLEFormat.Object</t>
  </si>
  <si>
    <t xml:space="preserve">    Set op = ActiveSheet.Shapes("B_25").OLEFormat.Object</t>
  </si>
  <si>
    <t>End Sub</t>
  </si>
  <si>
    <t>SS</t>
  </si>
  <si>
    <r>
      <t>Skin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-P</t>
    </r>
    <r>
      <rPr>
        <vertAlign val="subscript"/>
        <sz val="11"/>
        <color theme="1"/>
        <rFont val="Calibri"/>
        <family val="2"/>
        <scheme val="minor"/>
      </rPr>
      <t>TASK.W</t>
    </r>
  </si>
  <si>
    <r>
      <t>Skin</t>
    </r>
    <r>
      <rPr>
        <vertAlign val="subscript"/>
        <sz val="11"/>
        <color theme="1"/>
        <rFont val="Calibri"/>
        <family val="2"/>
        <scheme val="minor"/>
      </rPr>
      <t>W</t>
    </r>
    <r>
      <rPr>
        <sz val="11"/>
        <color theme="1"/>
        <rFont val="Calibri"/>
        <family val="2"/>
        <scheme val="minor"/>
      </rPr>
      <t>-A</t>
    </r>
    <r>
      <rPr>
        <vertAlign val="subscript"/>
        <sz val="11"/>
        <color theme="1"/>
        <rFont val="Calibri"/>
        <family val="2"/>
        <scheme val="minor"/>
      </rPr>
      <t>TASK.W</t>
    </r>
  </si>
  <si>
    <t>CE</t>
  </si>
  <si>
    <t>WH</t>
  </si>
  <si>
    <r>
      <t>Skinw-A</t>
    </r>
    <r>
      <rPr>
        <vertAlign val="subscript"/>
        <sz val="11"/>
        <color theme="1"/>
        <rFont val="Calibri"/>
        <family val="2"/>
        <scheme val="minor"/>
      </rPr>
      <t>JOB</t>
    </r>
  </si>
  <si>
    <t>EC1</t>
  </si>
  <si>
    <t>EC2</t>
  </si>
  <si>
    <t>EC3</t>
  </si>
  <si>
    <t>RTD_CAT</t>
  </si>
  <si>
    <t>EV</t>
  </si>
  <si>
    <t>V</t>
  </si>
  <si>
    <t>P_E.HA</t>
  </si>
  <si>
    <t>I_E.HA</t>
  </si>
  <si>
    <t>E_HE1</t>
  </si>
  <si>
    <t>E_UA1</t>
  </si>
  <si>
    <t>E_FA1</t>
  </si>
  <si>
    <t>E_TF1</t>
  </si>
  <si>
    <t>E_TB1</t>
  </si>
  <si>
    <t>E_LB1</t>
  </si>
  <si>
    <t>E_LL1</t>
  </si>
  <si>
    <t>E_FE1</t>
  </si>
  <si>
    <t>P_E.BP</t>
  </si>
  <si>
    <t>I_E.BP</t>
  </si>
  <si>
    <t>P_D.BP</t>
  </si>
  <si>
    <t>I_D.BP</t>
  </si>
  <si>
    <t>D_HE1</t>
  </si>
  <si>
    <t>D_UA1</t>
  </si>
  <si>
    <t>D_FA1</t>
  </si>
  <si>
    <t>D_HA1</t>
  </si>
  <si>
    <t>D_TF1</t>
  </si>
  <si>
    <t>D_TB1</t>
  </si>
  <si>
    <t>D_LB1</t>
  </si>
  <si>
    <t>D_LL1</t>
  </si>
  <si>
    <t>D_FE1</t>
  </si>
  <si>
    <t>P_T.HA.FL</t>
  </si>
  <si>
    <t>P_T.HA.TA</t>
  </si>
  <si>
    <t>P_T.HA.MA</t>
  </si>
  <si>
    <t>P_T.HA.TO</t>
  </si>
  <si>
    <t>P_T.HA.OT</t>
  </si>
  <si>
    <t>I_T.HA.FL</t>
  </si>
  <si>
    <t>I_T.HA.TA</t>
  </si>
  <si>
    <t>I_T.HA.MA</t>
  </si>
  <si>
    <t>I_T.HA.TO</t>
  </si>
  <si>
    <t>I_T.HA.OT</t>
  </si>
  <si>
    <t>T.HA.FL</t>
  </si>
  <si>
    <t>T.HA.TA</t>
  </si>
  <si>
    <t>T.HA.MA</t>
  </si>
  <si>
    <t>T.HA.TO</t>
  </si>
  <si>
    <t>T.HA.OT</t>
  </si>
  <si>
    <t>P_T_BP.FL</t>
  </si>
  <si>
    <t>P_T_BP.TA</t>
  </si>
  <si>
    <t>P_T_BP.MA</t>
  </si>
  <si>
    <t>P_T_BP.TO</t>
  </si>
  <si>
    <t>P_T_BP.OT</t>
  </si>
  <si>
    <t>I_T_BP.FL</t>
  </si>
  <si>
    <t>I_T_BP.TA</t>
  </si>
  <si>
    <t>I_T_BP.MA</t>
  </si>
  <si>
    <t>I_T_BP.TO</t>
  </si>
  <si>
    <t>I_T_BP.OT</t>
  </si>
  <si>
    <t>T_HE1</t>
  </si>
  <si>
    <t>T_UA1</t>
  </si>
  <si>
    <t>T_FA1</t>
  </si>
  <si>
    <t>T_TF1</t>
  </si>
  <si>
    <t>T_TB1</t>
  </si>
  <si>
    <t>T_LB1</t>
  </si>
  <si>
    <t>T_LL1</t>
  </si>
  <si>
    <t>T_FE1</t>
  </si>
  <si>
    <t>M</t>
  </si>
  <si>
    <t>GC</t>
  </si>
  <si>
    <t>GD</t>
  </si>
  <si>
    <t>RF</t>
  </si>
  <si>
    <t>UG</t>
  </si>
  <si>
    <t>URF</t>
  </si>
  <si>
    <t>BC</t>
  </si>
  <si>
    <t>M_HE</t>
  </si>
  <si>
    <t>M_UA</t>
  </si>
  <si>
    <t>M_FA</t>
  </si>
  <si>
    <t>M_TF</t>
  </si>
  <si>
    <t>M_TB</t>
  </si>
  <si>
    <t>M_LL</t>
  </si>
  <si>
    <t>M_FE</t>
  </si>
  <si>
    <t>RF_HE</t>
  </si>
  <si>
    <t>RF_UA</t>
  </si>
  <si>
    <t>RF_FA</t>
  </si>
  <si>
    <t>RF_TF</t>
  </si>
  <si>
    <t>RF_TB</t>
  </si>
  <si>
    <t>RF_LL</t>
  </si>
  <si>
    <t>RF_FE</t>
  </si>
  <si>
    <t>Skin_P.HA</t>
  </si>
  <si>
    <t>Skin_P.HE</t>
  </si>
  <si>
    <t>Skin_P.UA</t>
  </si>
  <si>
    <t>Skin_P.FA</t>
  </si>
  <si>
    <t>Skin_P.TF</t>
  </si>
  <si>
    <t>Skin_P.TB</t>
  </si>
  <si>
    <t>Skin_P.LL</t>
  </si>
  <si>
    <t>Skin_P.FE</t>
  </si>
  <si>
    <t>Skin_P.LB</t>
  </si>
  <si>
    <t>RF_LB</t>
  </si>
  <si>
    <t>M_LB</t>
  </si>
  <si>
    <t>Skin_A.HA</t>
  </si>
  <si>
    <t>Skin_A.HE</t>
  </si>
  <si>
    <t>Skin_A.UA</t>
  </si>
  <si>
    <t>Skin_A.FA</t>
  </si>
  <si>
    <t>Skin_A.TF</t>
  </si>
  <si>
    <t>Skin_A.TB</t>
  </si>
  <si>
    <t>Skin_A.LB</t>
  </si>
  <si>
    <t>Skin_A.LL</t>
  </si>
  <si>
    <t>Skin_A.FE</t>
  </si>
  <si>
    <t>BS_HA</t>
  </si>
  <si>
    <t>BS_HE</t>
  </si>
  <si>
    <t>BS_UA</t>
  </si>
  <si>
    <t>BS_FA</t>
  </si>
  <si>
    <t>BS_TF</t>
  </si>
  <si>
    <t>BS_TB</t>
  </si>
  <si>
    <t>BS_LB</t>
  </si>
  <si>
    <t>BS_LL</t>
  </si>
  <si>
    <t>BS_FE</t>
  </si>
  <si>
    <t>Skin_W-P_HA</t>
  </si>
  <si>
    <t>Skin_W-P_HE</t>
  </si>
  <si>
    <t>Skin_W-P_UA</t>
  </si>
  <si>
    <t>Skin_W-P_FA</t>
  </si>
  <si>
    <t>Skin_W-P_TF</t>
  </si>
  <si>
    <t>Skin_W-P_TB</t>
  </si>
  <si>
    <t>Skin_W-P_LB</t>
  </si>
  <si>
    <t>Skin_W-P_LL</t>
  </si>
  <si>
    <t>Skin_W-P_FE</t>
  </si>
  <si>
    <t>Skin-P.TASK</t>
  </si>
  <si>
    <t>Skin-A.TASK</t>
  </si>
  <si>
    <t>Skin_W-P_TASK</t>
  </si>
  <si>
    <t>Skin_W-A_HA</t>
  </si>
  <si>
    <t>Skin_W-A_HE</t>
  </si>
  <si>
    <t>Skin_W-A_UA</t>
  </si>
  <si>
    <t>Skin_W-A_FA</t>
  </si>
  <si>
    <t>Skin_W-A_TF</t>
  </si>
  <si>
    <t>Skin_W-A_TB</t>
  </si>
  <si>
    <t>Skin_W-A_LB</t>
  </si>
  <si>
    <t>Skin_W-A_LL</t>
  </si>
  <si>
    <t>Skin_W-A_FE</t>
  </si>
  <si>
    <t>Skin_W-A_TASK</t>
  </si>
  <si>
    <t>Departamento</t>
  </si>
  <si>
    <t>Tarea</t>
  </si>
  <si>
    <t>Puesto</t>
  </si>
  <si>
    <t>Agente</t>
  </si>
  <si>
    <t>I_Activo</t>
  </si>
  <si>
    <t>Emisión</t>
  </si>
  <si>
    <t>PFM_BP</t>
  </si>
  <si>
    <t>C_HE</t>
  </si>
  <si>
    <t>C_UA</t>
  </si>
  <si>
    <t>C_FA</t>
  </si>
  <si>
    <t>C_TF</t>
  </si>
  <si>
    <t>C_TB</t>
  </si>
  <si>
    <t>C_LB</t>
  </si>
  <si>
    <t>C_LL</t>
  </si>
  <si>
    <t>C_FE</t>
  </si>
  <si>
    <t>Tranferencia</t>
  </si>
  <si>
    <t>Protección guantes</t>
  </si>
  <si>
    <t>Protección Ropa</t>
  </si>
  <si>
    <t xml:space="preserve">Time-weighted estimates </t>
  </si>
  <si>
    <r>
      <t>Skinw-P</t>
    </r>
    <r>
      <rPr>
        <vertAlign val="subscript"/>
        <sz val="11"/>
        <color theme="1"/>
        <rFont val="Calibri"/>
        <family val="2"/>
        <scheme val="minor"/>
      </rPr>
      <t>JOB</t>
    </r>
  </si>
  <si>
    <t>Weighing hygiene conditions</t>
  </si>
  <si>
    <t xml:space="preserve">Material de la capa externa de ropa </t>
  </si>
  <si>
    <t xml:space="preserve">Marque las partes del cuerpo cubiertas por ropa o EPP </t>
  </si>
  <si>
    <t>Pregunte al trabajador ¿Con qué frecuencia el reemplaza sus guantes?</t>
  </si>
  <si>
    <t>Pregunte al trabajador ¿Con qué frecuencia reemplaza los guantes inferiores?</t>
  </si>
  <si>
    <t>Tejido
(0,3)</t>
  </si>
  <si>
    <t>Solamente en caso de ser un sólido: 
¿El agente es polvoriento?</t>
  </si>
  <si>
    <t>Solamente en caso de ser un sólido ni polvo ni polvoriento (F≠3 y DU≠3): 
¿El agente es pegajoso / ceroso?</t>
  </si>
  <si>
    <t>O_HA1</t>
  </si>
  <si>
    <t>CE1</t>
  </si>
  <si>
    <t>¿Los trabajadores son los responsables de lavar su ropa de trabajo?</t>
  </si>
  <si>
    <t>¿Cómo lavan los trabajadores normalmente sus manos?</t>
  </si>
  <si>
    <t>¿Cuál es el estado físico del agente?</t>
  </si>
  <si>
    <t>Solamente en caso de ser un sólido:
¿Cuál es la formulación del agente?</t>
  </si>
  <si>
    <t>Solamente en caso de ser un líquido:
¿Cuál es la viscosidad del agente?</t>
  </si>
  <si>
    <t xml:space="preserve">Tiempo total de ejecución de la tarea por cada trabajador:
</t>
  </si>
  <si>
    <t xml:space="preserve">¿Las manos están expuestas directamente a la liberación del agente de la fuente o por inmersión? </t>
  </si>
  <si>
    <t>¿Otras partes del cuerpo están expuestas directamente a la liberación del agente de la fuente o por inmersión?</t>
  </si>
  <si>
    <t>Especifique la cantidad de la contaminación:</t>
  </si>
  <si>
    <t>Especifique cantidad de la contaminación:</t>
  </si>
  <si>
    <t>Indique las partes del cuerpo expuestas por emisión:</t>
  </si>
  <si>
    <t>¿Cuando realiza la tarea existen partículas del agente en el ambiente o depositadas en las partes del cuerpo?</t>
  </si>
  <si>
    <t xml:space="preserve">Especifique la cantidad de la contaminación: </t>
  </si>
  <si>
    <t>Indique las partes del cuerpo expuestas por deposición:</t>
  </si>
  <si>
    <t>¿Las manos tienen contacto con superficies o herramientas?</t>
  </si>
  <si>
    <t>Posiblemente contaminada 
(1)</t>
  </si>
  <si>
    <t>Protección ropa</t>
  </si>
  <si>
    <t xml:space="preserve">No
(O_BP=1)   
  </t>
  </si>
  <si>
    <t>Sí
(O_BP=PFM_BP*M_BP*RF_BP)</t>
  </si>
  <si>
    <t>¿Con qué frecuencia se remplaza? (Pregunte)</t>
  </si>
  <si>
    <t>Diariamente 
(1)</t>
  </si>
  <si>
    <t>No tejido 
(0.1)</t>
  </si>
  <si>
    <t>≥50% de la superficie de contacto 
(10)</t>
  </si>
  <si>
    <t>Casi
constantemente (10)</t>
  </si>
  <si>
    <t>¿Contacto de otras partes del cuerpo (cubierto) con superficie o herramientas?</t>
  </si>
  <si>
    <t>ID cuestionario (código único cuestionario):</t>
  </si>
  <si>
    <t xml:space="preserve">Escriba el nombre de la empresa: </t>
  </si>
  <si>
    <t>Escriba el nombre del departamento:</t>
  </si>
  <si>
    <t>Escriba el nombre del puesto:</t>
  </si>
  <si>
    <t>Escriba el nombre de la tarea:</t>
  </si>
  <si>
    <t>Escriba nombre del agente:</t>
  </si>
  <si>
    <t>Escriba nombre de ingrediente activo:</t>
  </si>
  <si>
    <t>Transferencia</t>
  </si>
  <si>
    <t>Indique las partes del cuerpo expuestas por transferencia</t>
  </si>
  <si>
    <r>
      <t xml:space="preserve">No/NA        Sí  </t>
    </r>
    <r>
      <rPr>
        <sz val="10"/>
        <color theme="0" tint="-4.9989318521683403E-2"/>
        <rFont val="Calibri"/>
        <family val="2"/>
        <scheme val="minor"/>
      </rPr>
      <t>ss</t>
    </r>
    <r>
      <rPr>
        <sz val="10"/>
        <color theme="1"/>
        <rFont val="Calibri"/>
        <family val="2"/>
        <scheme val="minor"/>
      </rPr>
      <t xml:space="preserve">             </t>
    </r>
  </si>
  <si>
    <r>
      <t xml:space="preserve">No/NA        Sí    </t>
    </r>
    <r>
      <rPr>
        <sz val="10"/>
        <color theme="0" tint="-4.9989318521683403E-2"/>
        <rFont val="Calibri"/>
        <family val="2"/>
        <scheme val="minor"/>
      </rPr>
      <t>S</t>
    </r>
  </si>
  <si>
    <t>NA / No Contaminada 
(0)</t>
  </si>
  <si>
    <t xml:space="preserve">No / NA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</si>
</sst>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46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rgb="FF0000FF"/>
      <name val="Arial"/>
      <family val="2"/>
    </font>
    <font>
      <sz val="8"/>
      <color rgb="FF000000"/>
      <name val="Segoe UI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b/>
      <sz val="11"/>
      <color theme="8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Arial"/>
      <family val="2"/>
    </font>
    <font>
      <vertAlign val="subscript"/>
      <sz val="11"/>
      <color theme="1"/>
      <name val="Calibri"/>
      <family val="2"/>
      <scheme val="minor"/>
    </font>
    <font>
      <b/>
      <sz val="8"/>
      <name val="Arial"/>
      <family val="2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7.5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0" tint="-4.9989318521683403E-2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0">
    <xf numFmtId="0" fontId="0" fillId="0" borderId="0"/>
    <xf numFmtId="0" fontId="3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2" fillId="5" borderId="5" applyNumberFormat="0" applyAlignment="0" applyProtection="0"/>
    <xf numFmtId="0" fontId="13" fillId="6" borderId="6" applyNumberFormat="0" applyAlignment="0" applyProtection="0"/>
    <xf numFmtId="0" fontId="14" fillId="6" borderId="5" applyNumberFormat="0" applyAlignment="0" applyProtection="0"/>
    <xf numFmtId="0" fontId="15" fillId="0" borderId="7" applyNumberFormat="0" applyFill="0" applyAlignment="0" applyProtection="0"/>
    <xf numFmtId="0" fontId="16" fillId="7" borderId="8" applyNumberFormat="0" applyAlignment="0" applyProtection="0"/>
    <xf numFmtId="0" fontId="17" fillId="0" borderId="0" applyNumberFormat="0" applyFill="0" applyBorder="0" applyAlignment="0" applyProtection="0"/>
    <xf numFmtId="0" fontId="4" fillId="8" borderId="9" applyNumberFormat="0" applyFont="0" applyAlignment="0" applyProtection="0"/>
    <xf numFmtId="0" fontId="18" fillId="0" borderId="0" applyNumberFormat="0" applyFill="0" applyBorder="0" applyAlignment="0" applyProtection="0"/>
    <xf numFmtId="0" fontId="2" fillId="0" borderId="10" applyNumberFormat="0" applyFill="0" applyAlignment="0" applyProtection="0"/>
    <xf numFmtId="0" fontId="19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19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19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19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19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19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0" fillId="4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4" borderId="0" applyNumberFormat="0" applyBorder="0" applyAlignment="0" applyProtection="0"/>
    <xf numFmtId="0" fontId="19" fillId="12" borderId="0" applyNumberFormat="0" applyBorder="0" applyAlignment="0" applyProtection="0"/>
    <xf numFmtId="0" fontId="19" fillId="16" borderId="0" applyNumberFormat="0" applyBorder="0" applyAlignment="0" applyProtection="0"/>
    <xf numFmtId="0" fontId="19" fillId="20" borderId="0" applyNumberFormat="0" applyBorder="0" applyAlignment="0" applyProtection="0"/>
    <xf numFmtId="0" fontId="19" fillId="24" borderId="0" applyNumberFormat="0" applyBorder="0" applyAlignment="0" applyProtection="0"/>
    <xf numFmtId="0" fontId="19" fillId="28" borderId="0" applyNumberFormat="0" applyBorder="0" applyAlignment="0" applyProtection="0"/>
    <xf numFmtId="0" fontId="19" fillId="32" borderId="0" applyNumberFormat="0" applyBorder="0" applyAlignment="0" applyProtection="0"/>
  </cellStyleXfs>
  <cellXfs count="23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1" fillId="33" borderId="0" xfId="0" applyFont="1" applyFill="1"/>
    <xf numFmtId="0" fontId="0" fillId="33" borderId="0" xfId="0" applyFill="1"/>
    <xf numFmtId="0" fontId="1" fillId="33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9" fillId="0" borderId="0" xfId="0" applyFont="1"/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35" borderId="1" xfId="0" applyFill="1" applyBorder="1" applyAlignment="1" applyProtection="1">
      <alignment horizontal="center"/>
      <protection hidden="1"/>
    </xf>
    <xf numFmtId="0" fontId="1" fillId="0" borderId="0" xfId="0" applyFont="1" applyAlignment="1" applyProtection="1">
      <alignment vertical="center"/>
      <protection hidden="1"/>
    </xf>
    <xf numFmtId="0" fontId="0" fillId="0" borderId="0" xfId="0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vertical="center"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Alignment="1">
      <alignment horizontal="left" vertical="center"/>
    </xf>
    <xf numFmtId="0" fontId="0" fillId="0" borderId="0" xfId="0" applyProtection="1">
      <protection locked="0" hidden="1"/>
    </xf>
    <xf numFmtId="0" fontId="2" fillId="0" borderId="0" xfId="0" applyFont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1" fillId="0" borderId="0" xfId="0" applyFont="1" applyAlignment="1" applyProtection="1">
      <alignment vertical="center" wrapText="1"/>
      <protection locked="0" hidden="1"/>
    </xf>
    <xf numFmtId="0" fontId="0" fillId="33" borderId="0" xfId="0" applyFill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35" borderId="1" xfId="0" applyFill="1" applyBorder="1" applyProtection="1">
      <protection locked="0"/>
    </xf>
    <xf numFmtId="0" fontId="1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0" fillId="35" borderId="1" xfId="0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25" fillId="33" borderId="0" xfId="0" applyFont="1" applyFill="1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0" fillId="33" borderId="0" xfId="0" applyFill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35" borderId="1" xfId="0" applyFill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wrapText="1"/>
      <protection locked="0"/>
    </xf>
    <xf numFmtId="0" fontId="1" fillId="0" borderId="0" xfId="0" applyFont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26" fillId="0" borderId="0" xfId="0" applyFont="1" applyAlignment="1" applyProtection="1">
      <alignment wrapText="1"/>
      <protection locked="0"/>
    </xf>
    <xf numFmtId="0" fontId="26" fillId="0" borderId="0" xfId="0" applyFont="1" applyAlignment="1" applyProtection="1">
      <alignment horizontal="center" wrapText="1"/>
      <protection locked="0"/>
    </xf>
    <xf numFmtId="0" fontId="2" fillId="0" borderId="0" xfId="0" applyFont="1" applyAlignment="1">
      <alignment horizontal="center" vertical="center"/>
    </xf>
    <xf numFmtId="0" fontId="0" fillId="35" borderId="1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35" borderId="1" xfId="0" applyFill="1" applyBorder="1"/>
    <xf numFmtId="0" fontId="0" fillId="0" borderId="0" xfId="0" applyAlignment="1">
      <alignment horizontal="center"/>
    </xf>
    <xf numFmtId="0" fontId="0" fillId="0" borderId="0" xfId="0" applyAlignment="1" applyProtection="1">
      <alignment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hidden="1"/>
    </xf>
    <xf numFmtId="0" fontId="2" fillId="0" borderId="0" xfId="0" applyFont="1" applyAlignment="1" applyProtection="1">
      <alignment vertical="center"/>
      <protection locked="0"/>
    </xf>
    <xf numFmtId="0" fontId="31" fillId="0" borderId="0" xfId="0" applyFont="1" applyAlignment="1" applyProtection="1">
      <alignment horizontal="center" wrapText="1"/>
      <protection locked="0"/>
    </xf>
    <xf numFmtId="0" fontId="25" fillId="0" borderId="0" xfId="0" applyFont="1"/>
    <xf numFmtId="0" fontId="25" fillId="0" borderId="0" xfId="0" applyFont="1" applyAlignment="1">
      <alignment horizontal="center"/>
    </xf>
    <xf numFmtId="0" fontId="2" fillId="33" borderId="0" xfId="0" applyFont="1" applyFill="1"/>
    <xf numFmtId="0" fontId="2" fillId="0" borderId="0" xfId="0" applyFont="1"/>
    <xf numFmtId="14" fontId="0" fillId="0" borderId="0" xfId="0" applyNumberFormat="1"/>
    <xf numFmtId="0" fontId="1" fillId="33" borderId="0" xfId="0" applyFont="1" applyFill="1" applyAlignment="1">
      <alignment vertical="center" wrapText="1"/>
    </xf>
    <xf numFmtId="0" fontId="0" fillId="0" borderId="0" xfId="0" applyAlignment="1">
      <alignment horizontal="left" vertical="top"/>
    </xf>
    <xf numFmtId="0" fontId="21" fillId="33" borderId="0" xfId="0" applyFont="1" applyFill="1" applyAlignment="1">
      <alignment horizontal="left" vertical="center"/>
    </xf>
    <xf numFmtId="0" fontId="0" fillId="33" borderId="0" xfId="0" applyFill="1" applyAlignment="1">
      <alignment horizontal="left" vertical="top"/>
    </xf>
    <xf numFmtId="0" fontId="0" fillId="33" borderId="0" xfId="0" applyFill="1" applyAlignment="1">
      <alignment vertical="center"/>
    </xf>
    <xf numFmtId="0" fontId="1" fillId="33" borderId="0" xfId="0" applyFont="1" applyFill="1" applyAlignment="1">
      <alignment horizontal="center" vertical="center" wrapText="1"/>
    </xf>
    <xf numFmtId="0" fontId="21" fillId="33" borderId="0" xfId="0" applyFont="1" applyFill="1"/>
    <xf numFmtId="0" fontId="21" fillId="33" borderId="0" xfId="0" applyFont="1" applyFill="1" applyAlignment="1">
      <alignment vertical="center" wrapText="1"/>
    </xf>
    <xf numFmtId="0" fontId="29" fillId="33" borderId="0" xfId="0" applyFont="1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0" xfId="0" applyFill="1" applyAlignment="1">
      <alignment vertical="top" wrapText="1"/>
    </xf>
    <xf numFmtId="0" fontId="33" fillId="33" borderId="0" xfId="0" applyFont="1" applyFill="1"/>
    <xf numFmtId="0" fontId="1" fillId="0" borderId="0" xfId="0" applyFont="1" applyAlignment="1">
      <alignment horizontal="center" vertical="center" wrapText="1"/>
    </xf>
    <xf numFmtId="0" fontId="0" fillId="33" borderId="0" xfId="0" applyFill="1" applyAlignment="1">
      <alignment horizontal="center"/>
    </xf>
    <xf numFmtId="0" fontId="2" fillId="33" borderId="0" xfId="0" applyFont="1" applyFill="1" applyAlignment="1">
      <alignment horizontal="left"/>
    </xf>
    <xf numFmtId="0" fontId="1" fillId="34" borderId="0" xfId="0" applyFont="1" applyFill="1" applyAlignment="1">
      <alignment horizontal="center" vertical="center" wrapText="1"/>
    </xf>
    <xf numFmtId="0" fontId="24" fillId="33" borderId="0" xfId="0" applyFont="1" applyFill="1" applyAlignment="1">
      <alignment vertical="center" wrapText="1"/>
    </xf>
    <xf numFmtId="0" fontId="40" fillId="33" borderId="13" xfId="0" applyFont="1" applyFill="1" applyBorder="1" applyAlignment="1" applyProtection="1">
      <alignment vertical="center" wrapText="1"/>
      <protection locked="0"/>
    </xf>
    <xf numFmtId="0" fontId="34" fillId="37" borderId="13" xfId="0" applyFont="1" applyFill="1" applyBorder="1" applyAlignment="1">
      <alignment vertical="center" wrapText="1"/>
    </xf>
    <xf numFmtId="0" fontId="34" fillId="37" borderId="22" xfId="0" applyFont="1" applyFill="1" applyBorder="1" applyAlignment="1">
      <alignment vertical="center" wrapText="1"/>
    </xf>
    <xf numFmtId="0" fontId="34" fillId="37" borderId="20" xfId="0" applyFont="1" applyFill="1" applyBorder="1" applyAlignment="1">
      <alignment vertical="center" wrapText="1"/>
    </xf>
    <xf numFmtId="0" fontId="34" fillId="37" borderId="23" xfId="0" applyFont="1" applyFill="1" applyBorder="1" applyAlignment="1">
      <alignment vertical="center" wrapText="1"/>
    </xf>
    <xf numFmtId="0" fontId="29" fillId="33" borderId="13" xfId="0" applyFont="1" applyFill="1" applyBorder="1" applyAlignment="1" applyProtection="1">
      <alignment vertical="center" wrapText="1"/>
      <protection locked="0"/>
    </xf>
    <xf numFmtId="0" fontId="29" fillId="33" borderId="13" xfId="0" applyFont="1" applyFill="1" applyBorder="1" applyAlignment="1" applyProtection="1">
      <alignment vertical="center"/>
      <protection locked="0"/>
    </xf>
    <xf numFmtId="14" fontId="29" fillId="33" borderId="13" xfId="0" applyNumberFormat="1" applyFont="1" applyFill="1" applyBorder="1" applyAlignment="1" applyProtection="1">
      <alignment vertical="center"/>
      <protection locked="0"/>
    </xf>
    <xf numFmtId="0" fontId="34" fillId="37" borderId="13" xfId="0" applyFont="1" applyFill="1" applyBorder="1" applyAlignment="1">
      <alignment vertical="center"/>
    </xf>
    <xf numFmtId="0" fontId="34" fillId="33" borderId="0" xfId="0" applyFont="1" applyFill="1"/>
    <xf numFmtId="0" fontId="37" fillId="33" borderId="0" xfId="0" applyFont="1" applyFill="1"/>
    <xf numFmtId="0" fontId="34" fillId="37" borderId="13" xfId="0" applyFont="1" applyFill="1" applyBorder="1"/>
    <xf numFmtId="0" fontId="40" fillId="37" borderId="13" xfId="0" applyFont="1" applyFill="1" applyBorder="1" applyAlignment="1">
      <alignment horizontal="center" vertical="center" wrapText="1"/>
    </xf>
    <xf numFmtId="0" fontId="34" fillId="37" borderId="13" xfId="0" applyFont="1" applyFill="1" applyBorder="1" applyAlignment="1">
      <alignment horizontal="center" vertical="center" wrapText="1"/>
    </xf>
    <xf numFmtId="0" fontId="34" fillId="37" borderId="13" xfId="0" applyFont="1" applyFill="1" applyBorder="1" applyAlignment="1">
      <alignment horizontal="center" vertical="center"/>
    </xf>
    <xf numFmtId="0" fontId="34" fillId="37" borderId="22" xfId="0" applyFont="1" applyFill="1" applyBorder="1"/>
    <xf numFmtId="0" fontId="41" fillId="37" borderId="20" xfId="0" applyFont="1" applyFill="1" applyBorder="1"/>
    <xf numFmtId="0" fontId="40" fillId="37" borderId="13" xfId="1" applyFont="1" applyFill="1" applyBorder="1" applyAlignment="1" applyProtection="1">
      <alignment vertical="center" wrapText="1"/>
    </xf>
    <xf numFmtId="0" fontId="34" fillId="37" borderId="18" xfId="0" applyFont="1" applyFill="1" applyBorder="1" applyAlignment="1">
      <alignment vertical="center" wrapText="1"/>
    </xf>
    <xf numFmtId="0" fontId="34" fillId="37" borderId="25" xfId="0" applyFont="1" applyFill="1" applyBorder="1" applyAlignment="1">
      <alignment vertical="center" wrapText="1"/>
    </xf>
    <xf numFmtId="0" fontId="34" fillId="37" borderId="0" xfId="0" applyFont="1" applyFill="1" applyAlignment="1">
      <alignment vertical="center" wrapText="1"/>
    </xf>
    <xf numFmtId="0" fontId="34" fillId="37" borderId="21" xfId="0" applyFont="1" applyFill="1" applyBorder="1" applyAlignment="1">
      <alignment vertical="center" wrapText="1"/>
    </xf>
    <xf numFmtId="0" fontId="32" fillId="37" borderId="22" xfId="0" applyFont="1" applyFill="1" applyBorder="1" applyAlignment="1">
      <alignment horizontal="center" vertical="center" wrapText="1"/>
    </xf>
    <xf numFmtId="0" fontId="34" fillId="37" borderId="24" xfId="0" applyFont="1" applyFill="1" applyBorder="1" applyAlignment="1">
      <alignment vertical="center" wrapText="1"/>
    </xf>
    <xf numFmtId="0" fontId="34" fillId="37" borderId="28" xfId="0" applyFont="1" applyFill="1" applyBorder="1" applyAlignment="1">
      <alignment vertical="center" wrapText="1"/>
    </xf>
    <xf numFmtId="0" fontId="34" fillId="37" borderId="14" xfId="0" applyFont="1" applyFill="1" applyBorder="1"/>
    <xf numFmtId="0" fontId="34" fillId="37" borderId="25" xfId="0" applyFont="1" applyFill="1" applyBorder="1"/>
    <xf numFmtId="0" fontId="34" fillId="37" borderId="15" xfId="0" applyFont="1" applyFill="1" applyBorder="1" applyAlignment="1">
      <alignment vertical="center" wrapText="1"/>
    </xf>
    <xf numFmtId="0" fontId="34" fillId="37" borderId="26" xfId="0" applyFont="1" applyFill="1" applyBorder="1"/>
    <xf numFmtId="0" fontId="34" fillId="37" borderId="27" xfId="0" applyFont="1" applyFill="1" applyBorder="1" applyAlignment="1">
      <alignment vertical="center" wrapText="1"/>
    </xf>
    <xf numFmtId="0" fontId="43" fillId="37" borderId="22" xfId="0" applyFont="1" applyFill="1" applyBorder="1" applyAlignment="1">
      <alignment horizontal="center" vertical="center" wrapText="1"/>
    </xf>
    <xf numFmtId="0" fontId="33" fillId="37" borderId="13" xfId="0" applyFont="1" applyFill="1" applyBorder="1" applyAlignment="1">
      <alignment horizontal="center" vertical="center" wrapText="1"/>
    </xf>
    <xf numFmtId="0" fontId="32" fillId="37" borderId="13" xfId="0" applyFont="1" applyFill="1" applyBorder="1" applyAlignment="1">
      <alignment horizontal="center" vertical="center" wrapText="1"/>
    </xf>
    <xf numFmtId="0" fontId="44" fillId="37" borderId="13" xfId="0" applyFont="1" applyFill="1" applyBorder="1" applyAlignment="1">
      <alignment horizontal="center" vertical="center" wrapText="1"/>
    </xf>
    <xf numFmtId="0" fontId="27" fillId="33" borderId="0" xfId="0" applyFont="1" applyFill="1"/>
    <xf numFmtId="0" fontId="33" fillId="37" borderId="13" xfId="0" applyFont="1" applyFill="1" applyBorder="1" applyAlignment="1">
      <alignment vertical="center" wrapText="1"/>
    </xf>
    <xf numFmtId="0" fontId="0" fillId="37" borderId="14" xfId="0" applyFill="1" applyBorder="1"/>
    <xf numFmtId="0" fontId="0" fillId="37" borderId="17" xfId="0" applyFill="1" applyBorder="1"/>
    <xf numFmtId="0" fontId="0" fillId="37" borderId="28" xfId="0" applyFill="1" applyBorder="1"/>
    <xf numFmtId="0" fontId="34" fillId="37" borderId="14" xfId="0" applyFont="1" applyFill="1" applyBorder="1" applyAlignment="1">
      <alignment vertical="center" wrapText="1"/>
    </xf>
    <xf numFmtId="0" fontId="34" fillId="37" borderId="19" xfId="0" applyFont="1" applyFill="1" applyBorder="1" applyAlignment="1">
      <alignment vertical="center" wrapText="1"/>
    </xf>
    <xf numFmtId="0" fontId="34" fillId="37" borderId="17" xfId="0" applyFont="1" applyFill="1" applyBorder="1" applyAlignment="1">
      <alignment vertical="center" wrapText="1"/>
    </xf>
    <xf numFmtId="0" fontId="38" fillId="33" borderId="0" xfId="0" applyFont="1" applyFill="1" applyAlignment="1">
      <alignment horizontal="left" vertical="center" wrapText="1"/>
    </xf>
    <xf numFmtId="0" fontId="34" fillId="33" borderId="0" xfId="0" applyFont="1" applyFill="1" applyAlignment="1">
      <alignment vertical="center" wrapText="1"/>
    </xf>
    <xf numFmtId="0" fontId="34" fillId="33" borderId="0" xfId="0" applyFont="1" applyFill="1" applyAlignment="1">
      <alignment horizontal="center" vertical="center" wrapText="1"/>
    </xf>
    <xf numFmtId="0" fontId="0" fillId="33" borderId="0" xfId="0" applyFill="1" applyAlignment="1" applyProtection="1">
      <alignment horizontal="center"/>
      <protection locked="0"/>
    </xf>
    <xf numFmtId="0" fontId="17" fillId="33" borderId="0" xfId="0" applyFont="1" applyFill="1" applyProtection="1">
      <protection locked="0"/>
    </xf>
    <xf numFmtId="0" fontId="17" fillId="0" borderId="0" xfId="0" applyFont="1" applyProtection="1">
      <protection locked="0"/>
    </xf>
    <xf numFmtId="0" fontId="22" fillId="33" borderId="0" xfId="0" applyFont="1" applyFill="1" applyAlignment="1" applyProtection="1">
      <alignment vertical="center" wrapText="1"/>
      <protection locked="0"/>
    </xf>
    <xf numFmtId="0" fontId="1" fillId="33" borderId="0" xfId="0" applyFont="1" applyFill="1" applyAlignment="1" applyProtection="1">
      <alignment vertical="center" wrapText="1"/>
      <protection locked="0"/>
    </xf>
    <xf numFmtId="0" fontId="1" fillId="33" borderId="0" xfId="0" applyFont="1" applyFill="1" applyAlignment="1" applyProtection="1">
      <alignment horizontal="center" vertical="center" wrapText="1"/>
      <protection locked="0"/>
    </xf>
    <xf numFmtId="4" fontId="0" fillId="33" borderId="0" xfId="0" applyNumberFormat="1" applyFill="1"/>
    <xf numFmtId="4" fontId="1" fillId="33" borderId="0" xfId="0" applyNumberFormat="1" applyFont="1" applyFill="1"/>
    <xf numFmtId="4" fontId="0" fillId="33" borderId="0" xfId="0" applyNumberFormat="1" applyFill="1" applyAlignment="1">
      <alignment horizontal="center"/>
    </xf>
    <xf numFmtId="4" fontId="2" fillId="33" borderId="0" xfId="0" applyNumberFormat="1" applyFont="1" applyFill="1" applyAlignment="1">
      <alignment horizontal="left"/>
    </xf>
    <xf numFmtId="4" fontId="2" fillId="33" borderId="0" xfId="0" applyNumberFormat="1" applyFont="1" applyFill="1"/>
    <xf numFmtId="4" fontId="38" fillId="33" borderId="0" xfId="0" applyNumberFormat="1" applyFont="1" applyFill="1" applyAlignment="1">
      <alignment horizontal="left" vertical="center" wrapText="1"/>
    </xf>
    <xf numFmtId="4" fontId="34" fillId="37" borderId="13" xfId="0" applyNumberFormat="1" applyFont="1" applyFill="1" applyBorder="1" applyAlignment="1">
      <alignment horizontal="center" vertical="center" wrapText="1"/>
    </xf>
    <xf numFmtId="4" fontId="34" fillId="37" borderId="13" xfId="0" applyNumberFormat="1" applyFont="1" applyFill="1" applyBorder="1" applyAlignment="1">
      <alignment vertical="center" wrapText="1"/>
    </xf>
    <xf numFmtId="4" fontId="34" fillId="33" borderId="0" xfId="0" applyNumberFormat="1" applyFont="1" applyFill="1" applyAlignment="1">
      <alignment vertical="center" wrapText="1"/>
    </xf>
    <xf numFmtId="4" fontId="34" fillId="33" borderId="0" xfId="0" applyNumberFormat="1" applyFont="1" applyFill="1" applyAlignment="1">
      <alignment horizontal="center" vertical="center" wrapText="1"/>
    </xf>
    <xf numFmtId="4" fontId="34" fillId="37" borderId="13" xfId="0" applyNumberFormat="1" applyFont="1" applyFill="1" applyBorder="1" applyAlignment="1">
      <alignment vertical="center"/>
    </xf>
    <xf numFmtId="4" fontId="34" fillId="37" borderId="13" xfId="0" applyNumberFormat="1" applyFont="1" applyFill="1" applyBorder="1"/>
    <xf numFmtId="4" fontId="34" fillId="33" borderId="0" xfId="0" applyNumberFormat="1" applyFont="1" applyFill="1"/>
    <xf numFmtId="4" fontId="1" fillId="34" borderId="0" xfId="0" applyNumberFormat="1" applyFont="1" applyFill="1" applyAlignment="1">
      <alignment horizontal="center" vertical="center" wrapText="1"/>
    </xf>
    <xf numFmtId="4" fontId="1" fillId="33" borderId="0" xfId="0" applyNumberFormat="1" applyFont="1" applyFill="1" applyAlignment="1">
      <alignment vertical="center" wrapText="1"/>
    </xf>
    <xf numFmtId="4" fontId="1" fillId="33" borderId="0" xfId="0" applyNumberFormat="1" applyFont="1" applyFill="1" applyAlignment="1">
      <alignment horizontal="center" vertical="center" wrapText="1"/>
    </xf>
    <xf numFmtId="0" fontId="39" fillId="33" borderId="0" xfId="0" applyFont="1" applyFill="1" applyAlignment="1">
      <alignment horizontal="left" wrapText="1"/>
    </xf>
    <xf numFmtId="0" fontId="32" fillId="33" borderId="0" xfId="0" applyFont="1" applyFill="1" applyAlignment="1">
      <alignment horizontal="center" vertical="center" wrapText="1"/>
    </xf>
    <xf numFmtId="0" fontId="34" fillId="33" borderId="0" xfId="0" applyFont="1" applyFill="1" applyAlignment="1">
      <alignment horizontal="left" vertical="center" wrapText="1"/>
    </xf>
    <xf numFmtId="0" fontId="21" fillId="33" borderId="0" xfId="0" applyFont="1" applyFill="1" applyAlignment="1" applyProtection="1">
      <alignment vertical="center" wrapText="1"/>
      <protection locked="0"/>
    </xf>
    <xf numFmtId="0" fontId="24" fillId="33" borderId="0" xfId="0" applyFont="1" applyFill="1" applyAlignment="1" applyProtection="1">
      <alignment vertical="center" wrapText="1"/>
      <protection locked="0"/>
    </xf>
    <xf numFmtId="0" fontId="24" fillId="0" borderId="0" xfId="0" applyFont="1" applyAlignment="1" applyProtection="1">
      <alignment vertical="center" wrapText="1"/>
      <protection locked="0"/>
    </xf>
    <xf numFmtId="0" fontId="38" fillId="33" borderId="0" xfId="0" applyFont="1" applyFill="1" applyAlignment="1">
      <alignment horizontal="left"/>
    </xf>
    <xf numFmtId="164" fontId="34" fillId="37" borderId="13" xfId="0" applyNumberFormat="1" applyFont="1" applyFill="1" applyBorder="1" applyAlignment="1">
      <alignment horizontal="center" vertical="center" wrapText="1"/>
    </xf>
    <xf numFmtId="3" fontId="34" fillId="37" borderId="13" xfId="0" applyNumberFormat="1" applyFont="1" applyFill="1" applyBorder="1" applyAlignment="1">
      <alignment horizontal="center" vertical="center" wrapText="1"/>
    </xf>
    <xf numFmtId="0" fontId="34" fillId="37" borderId="13" xfId="0" applyFont="1" applyFill="1" applyBorder="1" applyAlignment="1">
      <alignment horizontal="left" vertical="center" wrapText="1"/>
    </xf>
    <xf numFmtId="0" fontId="34" fillId="37" borderId="13" xfId="0" applyFont="1" applyFill="1" applyBorder="1" applyAlignment="1">
      <alignment horizontal="center"/>
    </xf>
    <xf numFmtId="0" fontId="34" fillId="33" borderId="13" xfId="0" applyFont="1" applyFill="1" applyBorder="1" applyAlignment="1" applyProtection="1">
      <alignment horizontal="left" vertical="center" wrapText="1"/>
      <protection locked="0"/>
    </xf>
    <xf numFmtId="0" fontId="0" fillId="37" borderId="22" xfId="0" applyFill="1" applyBorder="1"/>
    <xf numFmtId="0" fontId="28" fillId="33" borderId="0" xfId="0" applyFont="1" applyFill="1" applyAlignment="1">
      <alignment horizontal="center" vertical="center" wrapText="1"/>
    </xf>
    <xf numFmtId="0" fontId="28" fillId="33" borderId="0" xfId="0" applyFont="1" applyFill="1" applyAlignment="1">
      <alignment horizontal="center" vertical="center"/>
    </xf>
    <xf numFmtId="0" fontId="34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32" fillId="0" borderId="0" xfId="0" applyFont="1" applyAlignment="1">
      <alignment horizontal="center" vertical="top" wrapText="1"/>
    </xf>
    <xf numFmtId="0" fontId="1" fillId="33" borderId="0" xfId="0" applyFont="1" applyFill="1" applyAlignment="1">
      <alignment vertical="center" wrapText="1"/>
    </xf>
    <xf numFmtId="0" fontId="38" fillId="36" borderId="14" xfId="0" applyFont="1" applyFill="1" applyBorder="1" applyAlignment="1">
      <alignment horizontal="left"/>
    </xf>
    <xf numFmtId="0" fontId="38" fillId="36" borderId="28" xfId="0" applyFont="1" applyFill="1" applyBorder="1" applyAlignment="1">
      <alignment horizontal="left"/>
    </xf>
    <xf numFmtId="0" fontId="38" fillId="36" borderId="14" xfId="0" applyFont="1" applyFill="1" applyBorder="1" applyAlignment="1">
      <alignment horizontal="left" vertical="center" wrapText="1"/>
    </xf>
    <xf numFmtId="0" fontId="38" fillId="36" borderId="17" xfId="0" applyFont="1" applyFill="1" applyBorder="1" applyAlignment="1">
      <alignment horizontal="left" vertical="center" wrapText="1"/>
    </xf>
    <xf numFmtId="0" fontId="38" fillId="36" borderId="28" xfId="0" applyFont="1" applyFill="1" applyBorder="1" applyAlignment="1">
      <alignment horizontal="left" vertical="center" wrapText="1"/>
    </xf>
    <xf numFmtId="0" fontId="34" fillId="37" borderId="13" xfId="0" applyFont="1" applyFill="1" applyBorder="1" applyAlignment="1">
      <alignment horizontal="center" vertical="center" wrapText="1"/>
    </xf>
    <xf numFmtId="0" fontId="34" fillId="37" borderId="14" xfId="0" applyFont="1" applyFill="1" applyBorder="1" applyAlignment="1">
      <alignment vertical="center" wrapText="1"/>
    </xf>
    <xf numFmtId="0" fontId="34" fillId="37" borderId="14" xfId="0" applyFont="1" applyFill="1" applyBorder="1" applyAlignment="1">
      <alignment horizontal="left" vertical="center" wrapText="1"/>
    </xf>
    <xf numFmtId="0" fontId="34" fillId="37" borderId="13" xfId="0" applyFont="1" applyFill="1" applyBorder="1" applyAlignment="1">
      <alignment horizontal="center" vertical="center"/>
    </xf>
    <xf numFmtId="0" fontId="34" fillId="37" borderId="22" xfId="0" applyFont="1" applyFill="1" applyBorder="1" applyAlignment="1">
      <alignment horizontal="left" vertical="center" wrapText="1"/>
    </xf>
    <xf numFmtId="0" fontId="34" fillId="37" borderId="20" xfId="0" applyFont="1" applyFill="1" applyBorder="1" applyAlignment="1">
      <alignment horizontal="left" vertical="center" wrapText="1"/>
    </xf>
    <xf numFmtId="0" fontId="34" fillId="37" borderId="23" xfId="0" applyFont="1" applyFill="1" applyBorder="1" applyAlignment="1">
      <alignment horizontal="left" vertical="center" wrapText="1"/>
    </xf>
    <xf numFmtId="0" fontId="38" fillId="36" borderId="17" xfId="0" applyFont="1" applyFill="1" applyBorder="1" applyAlignment="1">
      <alignment horizontal="left"/>
    </xf>
    <xf numFmtId="0" fontId="34" fillId="37" borderId="13" xfId="0" applyFont="1" applyFill="1" applyBorder="1" applyAlignment="1">
      <alignment vertical="center" wrapText="1"/>
    </xf>
    <xf numFmtId="0" fontId="34" fillId="37" borderId="14" xfId="0" applyFont="1" applyFill="1" applyBorder="1" applyAlignment="1">
      <alignment horizontal="center" vertical="center" wrapText="1"/>
    </xf>
    <xf numFmtId="0" fontId="40" fillId="37" borderId="18" xfId="0" applyFont="1" applyFill="1" applyBorder="1" applyAlignment="1">
      <alignment horizontal="left" vertical="center" wrapText="1"/>
    </xf>
    <xf numFmtId="0" fontId="40" fillId="37" borderId="25" xfId="0" applyFont="1" applyFill="1" applyBorder="1" applyAlignment="1">
      <alignment horizontal="left" vertical="center" wrapText="1"/>
    </xf>
    <xf numFmtId="0" fontId="40" fillId="37" borderId="22" xfId="0" applyFont="1" applyFill="1" applyBorder="1" applyAlignment="1">
      <alignment horizontal="left" vertical="center" wrapText="1"/>
    </xf>
    <xf numFmtId="0" fontId="42" fillId="37" borderId="23" xfId="0" applyFont="1" applyFill="1" applyBorder="1" applyAlignment="1">
      <alignment horizontal="left" vertical="center" wrapText="1"/>
    </xf>
    <xf numFmtId="4" fontId="38" fillId="36" borderId="14" xfId="0" applyNumberFormat="1" applyFont="1" applyFill="1" applyBorder="1" applyAlignment="1">
      <alignment horizontal="left" vertical="center" wrapText="1"/>
    </xf>
    <xf numFmtId="4" fontId="38" fillId="36" borderId="17" xfId="0" applyNumberFormat="1" applyFont="1" applyFill="1" applyBorder="1" applyAlignment="1">
      <alignment horizontal="left" vertical="center" wrapText="1"/>
    </xf>
    <xf numFmtId="4" fontId="38" fillId="36" borderId="28" xfId="0" applyNumberFormat="1" applyFont="1" applyFill="1" applyBorder="1" applyAlignment="1">
      <alignment horizontal="left" vertical="center" wrapText="1"/>
    </xf>
    <xf numFmtId="4" fontId="34" fillId="37" borderId="13" xfId="0" applyNumberFormat="1" applyFont="1" applyFill="1" applyBorder="1" applyAlignment="1">
      <alignment horizontal="center" vertical="center" wrapText="1"/>
    </xf>
    <xf numFmtId="4" fontId="34" fillId="37" borderId="13" xfId="0" applyNumberFormat="1" applyFont="1" applyFill="1" applyBorder="1" applyAlignment="1">
      <alignment horizontal="left" vertical="center" wrapText="1"/>
    </xf>
    <xf numFmtId="164" fontId="34" fillId="37" borderId="13" xfId="0" applyNumberFormat="1" applyFont="1" applyFill="1" applyBorder="1" applyAlignment="1">
      <alignment horizontal="center" vertical="center" wrapText="1"/>
    </xf>
    <xf numFmtId="0" fontId="1" fillId="33" borderId="0" xfId="0" applyFont="1" applyFill="1" applyAlignment="1" applyProtection="1">
      <alignment vertical="center" wrapText="1"/>
      <protection locked="0"/>
    </xf>
    <xf numFmtId="4" fontId="34" fillId="37" borderId="13" xfId="0" applyNumberFormat="1" applyFont="1" applyFill="1" applyBorder="1" applyAlignment="1">
      <alignment vertical="center" wrapText="1"/>
    </xf>
    <xf numFmtId="0" fontId="34" fillId="37" borderId="13" xfId="0" applyFont="1" applyFill="1" applyBorder="1" applyAlignment="1">
      <alignment horizontal="left" vertical="center" wrapText="1"/>
    </xf>
    <xf numFmtId="0" fontId="34" fillId="37" borderId="17" xfId="0" applyFont="1" applyFill="1" applyBorder="1" applyAlignment="1">
      <alignment horizontal="center" vertical="center" wrapText="1"/>
    </xf>
    <xf numFmtId="0" fontId="34" fillId="37" borderId="28" xfId="0" applyFont="1" applyFill="1" applyBorder="1" applyAlignment="1">
      <alignment horizontal="center" vertical="center" wrapText="1"/>
    </xf>
    <xf numFmtId="0" fontId="34" fillId="37" borderId="22" xfId="0" applyFont="1" applyFill="1" applyBorder="1" applyAlignment="1">
      <alignment horizontal="center" vertical="center" wrapText="1"/>
    </xf>
    <xf numFmtId="0" fontId="34" fillId="37" borderId="20" xfId="0" applyFont="1" applyFill="1" applyBorder="1" applyAlignment="1">
      <alignment horizontal="center" vertical="center" wrapText="1"/>
    </xf>
    <xf numFmtId="0" fontId="34" fillId="37" borderId="23" xfId="0" applyFont="1" applyFill="1" applyBorder="1" applyAlignment="1">
      <alignment horizontal="center" vertical="center" wrapText="1"/>
    </xf>
    <xf numFmtId="0" fontId="34" fillId="37" borderId="19" xfId="0" applyFont="1" applyFill="1" applyBorder="1" applyAlignment="1">
      <alignment vertical="center" wrapText="1"/>
    </xf>
    <xf numFmtId="0" fontId="34" fillId="37" borderId="17" xfId="0" applyFont="1" applyFill="1" applyBorder="1" applyAlignment="1">
      <alignment vertical="center" wrapText="1"/>
    </xf>
    <xf numFmtId="0" fontId="34" fillId="37" borderId="17" xfId="0" applyFont="1" applyFill="1" applyBorder="1" applyAlignment="1">
      <alignment horizontal="left" vertical="center" wrapText="1"/>
    </xf>
    <xf numFmtId="0" fontId="34" fillId="37" borderId="28" xfId="0" applyFont="1" applyFill="1" applyBorder="1" applyAlignment="1">
      <alignment horizontal="left" vertical="center" wrapText="1"/>
    </xf>
    <xf numFmtId="0" fontId="38" fillId="36" borderId="14" xfId="0" applyFont="1" applyFill="1" applyBorder="1" applyAlignment="1">
      <alignment horizontal="left" wrapText="1"/>
    </xf>
    <xf numFmtId="0" fontId="38" fillId="36" borderId="17" xfId="0" applyFont="1" applyFill="1" applyBorder="1" applyAlignment="1">
      <alignment horizontal="left" wrapText="1"/>
    </xf>
    <xf numFmtId="0" fontId="38" fillId="36" borderId="28" xfId="0" applyFont="1" applyFill="1" applyBorder="1" applyAlignment="1">
      <alignment horizontal="left" wrapText="1"/>
    </xf>
    <xf numFmtId="0" fontId="38" fillId="36" borderId="11" xfId="0" applyFont="1" applyFill="1" applyBorder="1" applyAlignment="1">
      <alignment horizontal="left"/>
    </xf>
    <xf numFmtId="0" fontId="38" fillId="36" borderId="16" xfId="0" applyFont="1" applyFill="1" applyBorder="1" applyAlignment="1">
      <alignment horizontal="left"/>
    </xf>
    <xf numFmtId="0" fontId="38" fillId="36" borderId="12" xfId="0" applyFont="1" applyFill="1" applyBorder="1" applyAlignment="1">
      <alignment horizontal="left"/>
    </xf>
    <xf numFmtId="0" fontId="35" fillId="36" borderId="14" xfId="0" applyFont="1" applyFill="1" applyBorder="1" applyAlignment="1">
      <alignment horizontal="left" vertical="center" wrapText="1"/>
    </xf>
    <xf numFmtId="0" fontId="35" fillId="36" borderId="17" xfId="0" applyFont="1" applyFill="1" applyBorder="1" applyAlignment="1">
      <alignment horizontal="left" vertical="center" wrapText="1"/>
    </xf>
    <xf numFmtId="0" fontId="35" fillId="36" borderId="19" xfId="0" applyFont="1" applyFill="1" applyBorder="1" applyAlignment="1">
      <alignment horizontal="left" vertical="center" wrapText="1"/>
    </xf>
    <xf numFmtId="0" fontId="35" fillId="36" borderId="24" xfId="0" applyFont="1" applyFill="1" applyBorder="1" applyAlignment="1">
      <alignment horizontal="left" vertical="center" wrapText="1"/>
    </xf>
    <xf numFmtId="0" fontId="33" fillId="37" borderId="13" xfId="0" applyFont="1" applyFill="1" applyBorder="1" applyAlignment="1">
      <alignment horizontal="center" vertical="center" wrapText="1"/>
    </xf>
    <xf numFmtId="0" fontId="36" fillId="37" borderId="13" xfId="0" applyFont="1" applyFill="1" applyBorder="1" applyAlignment="1">
      <alignment horizontal="center" vertical="center" wrapText="1"/>
    </xf>
    <xf numFmtId="0" fontId="33" fillId="37" borderId="14" xfId="0" applyFont="1" applyFill="1" applyBorder="1" applyAlignment="1">
      <alignment horizontal="left" vertical="center"/>
    </xf>
    <xf numFmtId="0" fontId="33" fillId="37" borderId="17" xfId="0" applyFont="1" applyFill="1" applyBorder="1" applyAlignment="1">
      <alignment horizontal="left" vertical="center"/>
    </xf>
    <xf numFmtId="0" fontId="33" fillId="37" borderId="28" xfId="0" applyFont="1" applyFill="1" applyBorder="1" applyAlignment="1">
      <alignment horizontal="left" vertical="center"/>
    </xf>
    <xf numFmtId="0" fontId="33" fillId="37" borderId="13" xfId="0" applyFont="1" applyFill="1" applyBorder="1" applyAlignment="1">
      <alignment vertical="center" wrapText="1"/>
    </xf>
    <xf numFmtId="0" fontId="33" fillId="37" borderId="14" xfId="0" applyFont="1" applyFill="1" applyBorder="1" applyAlignment="1">
      <alignment horizontal="center" vertical="center" wrapText="1"/>
    </xf>
    <xf numFmtId="0" fontId="3" fillId="38" borderId="29" xfId="1" applyFill="1" applyBorder="1" applyAlignment="1">
      <alignment horizontal="center" vertical="center"/>
    </xf>
    <xf numFmtId="0" fontId="3" fillId="38" borderId="30" xfId="1" applyFill="1" applyBorder="1" applyAlignment="1">
      <alignment horizontal="center" vertical="center"/>
    </xf>
    <xf numFmtId="0" fontId="3" fillId="38" borderId="31" xfId="1" applyFill="1" applyBorder="1" applyAlignment="1">
      <alignment horizontal="center" vertical="center"/>
    </xf>
    <xf numFmtId="0" fontId="3" fillId="0" borderId="29" xfId="1" applyFill="1" applyBorder="1" applyAlignment="1">
      <alignment horizontal="center" vertical="center"/>
    </xf>
    <xf numFmtId="0" fontId="3" fillId="0" borderId="30" xfId="1" applyFill="1" applyBorder="1" applyAlignment="1">
      <alignment horizontal="center" vertical="center"/>
    </xf>
    <xf numFmtId="0" fontId="3" fillId="0" borderId="31" xfId="1" applyFill="1" applyBorder="1" applyAlignment="1">
      <alignment horizontal="center" vertical="center"/>
    </xf>
    <xf numFmtId="0" fontId="0" fillId="39" borderId="29" xfId="0" applyFill="1" applyBorder="1" applyAlignment="1">
      <alignment horizontal="center"/>
    </xf>
    <xf numFmtId="0" fontId="0" fillId="39" borderId="30" xfId="0" applyFill="1" applyBorder="1" applyAlignment="1">
      <alignment horizontal="center"/>
    </xf>
    <xf numFmtId="0" fontId="0" fillId="39" borderId="31" xfId="0" applyFill="1" applyBorder="1" applyAlignment="1">
      <alignment horizontal="center"/>
    </xf>
    <xf numFmtId="0" fontId="0" fillId="38" borderId="29" xfId="0" applyFill="1" applyBorder="1" applyAlignment="1">
      <alignment horizontal="center" vertical="center"/>
    </xf>
    <xf numFmtId="0" fontId="0" fillId="38" borderId="30" xfId="0" applyFill="1" applyBorder="1" applyAlignment="1">
      <alignment horizontal="center" vertical="center"/>
    </xf>
    <xf numFmtId="0" fontId="0" fillId="38" borderId="31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</cellXfs>
  <cellStyles count="50">
    <cellStyle name="20% - Énfasis1" xfId="19" builtinId="30" customBuiltin="1"/>
    <cellStyle name="20% - Énfasis2" xfId="22" builtinId="34" customBuiltin="1"/>
    <cellStyle name="20% - Énfasis3" xfId="25" builtinId="38" customBuiltin="1"/>
    <cellStyle name="20% - Énfasis4" xfId="28" builtinId="42" customBuiltin="1"/>
    <cellStyle name="20% - Énfasis5" xfId="31" builtinId="46" customBuiltin="1"/>
    <cellStyle name="20% - Énfasis6" xfId="34" builtinId="50" customBuiltin="1"/>
    <cellStyle name="40% - Énfasis1" xfId="20" builtinId="31" customBuiltin="1"/>
    <cellStyle name="40% - Énfasis2" xfId="23" builtinId="35" customBuiltin="1"/>
    <cellStyle name="40% - Énfasis3" xfId="26" builtinId="39" customBuiltin="1"/>
    <cellStyle name="40% - Énfasis4" xfId="29" builtinId="43" customBuiltin="1"/>
    <cellStyle name="40% - Énfasis5" xfId="32" builtinId="47" customBuiltin="1"/>
    <cellStyle name="40% - Énfasis6" xfId="35" builtinId="51" customBuiltin="1"/>
    <cellStyle name="60% - Énfasis1 2" xfId="44" xr:uid="{00000000-0005-0000-0000-00000C000000}"/>
    <cellStyle name="60% - Énfasis1 3" xfId="37" xr:uid="{00000000-0005-0000-0000-00000D000000}"/>
    <cellStyle name="60% - Énfasis2 2" xfId="45" xr:uid="{00000000-0005-0000-0000-00000E000000}"/>
    <cellStyle name="60% - Énfasis2 3" xfId="38" xr:uid="{00000000-0005-0000-0000-00000F000000}"/>
    <cellStyle name="60% - Énfasis3 2" xfId="46" xr:uid="{00000000-0005-0000-0000-000010000000}"/>
    <cellStyle name="60% - Énfasis3 3" xfId="39" xr:uid="{00000000-0005-0000-0000-000011000000}"/>
    <cellStyle name="60% - Énfasis4 2" xfId="47" xr:uid="{00000000-0005-0000-0000-000012000000}"/>
    <cellStyle name="60% - Énfasis4 3" xfId="40" xr:uid="{00000000-0005-0000-0000-000013000000}"/>
    <cellStyle name="60% - Énfasis5 2" xfId="48" xr:uid="{00000000-0005-0000-0000-000014000000}"/>
    <cellStyle name="60% - Énfasis5 3" xfId="41" xr:uid="{00000000-0005-0000-0000-000015000000}"/>
    <cellStyle name="60% - Énfasis6 2" xfId="49" xr:uid="{00000000-0005-0000-0000-000016000000}"/>
    <cellStyle name="60% - Énfasis6 3" xfId="42" xr:uid="{00000000-0005-0000-0000-000017000000}"/>
    <cellStyle name="Bueno" xfId="7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3" builtinId="16" customBuiltin="1"/>
    <cellStyle name="Encabezado 4" xfId="6" builtinId="19" customBuiltin="1"/>
    <cellStyle name="Énfasis1" xfId="18" builtinId="29" customBuiltin="1"/>
    <cellStyle name="Énfasis2" xfId="21" builtinId="33" customBuiltin="1"/>
    <cellStyle name="Énfasis3" xfId="24" builtinId="37" customBuiltin="1"/>
    <cellStyle name="Énfasis4" xfId="27" builtinId="41" customBuiltin="1"/>
    <cellStyle name="Énfasis5" xfId="30" builtinId="45" customBuiltin="1"/>
    <cellStyle name="Énfasis6" xfId="33" builtinId="49" customBuiltin="1"/>
    <cellStyle name="Entrada" xfId="9" builtinId="20" customBuiltin="1"/>
    <cellStyle name="Hipervínculo" xfId="1" builtinId="8"/>
    <cellStyle name="Incorrecto" xfId="8" builtinId="27" customBuiltin="1"/>
    <cellStyle name="Neutral 2" xfId="43" xr:uid="{00000000-0005-0000-0000-000027000000}"/>
    <cellStyle name="Neutral 3" xfId="36" xr:uid="{00000000-0005-0000-0000-000028000000}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fmlaLink="$G$5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G$9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firstButton="1" fmlaLink="$G$12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firstButton="1" fmlaLink="$G$15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Radio" checked="Checked" firstButton="1" fmlaLink="$F$5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Radio" firstButton="1" fmlaLink="$F$6" lockText="1" noThreeD="1"/>
</file>

<file path=xl/ctrlProps/ctrlProp21.xml><?xml version="1.0" encoding="utf-8"?>
<formControlPr xmlns="http://schemas.microsoft.com/office/spreadsheetml/2009/9/main" objectType="Radio" checked="Checked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Radio" checked="Checked" firstButton="1" fmlaLink="$F$7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fmlaLink="$F$8" lockText="1" noThreeD="1"/>
</file>

<file path=xl/ctrlProps/ctrlProp27.xml><?xml version="1.0" encoding="utf-8"?>
<formControlPr xmlns="http://schemas.microsoft.com/office/spreadsheetml/2009/9/main" objectType="Radio" checked="Checked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Radio" firstButton="1" fmlaLink="$F$5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Radio" firstButton="1" fmlaLink="$G$6" lockText="1" noThreeD="1"/>
</file>

<file path=xl/ctrlProps/ctrlProp36.xml><?xml version="1.0" encoding="utf-8"?>
<formControlPr xmlns="http://schemas.microsoft.com/office/spreadsheetml/2009/9/main" objectType="Radio" checked="Checked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Radio" firstButton="1" fmlaLink="$G$9" lockText="1" noThreeD="1"/>
</file>

<file path=xl/ctrlProps/ctrlProp40.xml><?xml version="1.0" encoding="utf-8"?>
<formControlPr xmlns="http://schemas.microsoft.com/office/spreadsheetml/2009/9/main" objectType="Radio" checked="Checked" lockText="1" noThreeD="1"/>
</file>

<file path=xl/ctrlProps/ctrlProp41.xml><?xml version="1.0" encoding="utf-8"?>
<formControlPr xmlns="http://schemas.microsoft.com/office/spreadsheetml/2009/9/main" objectType="Radio" firstButton="1" fmlaLink="$G$12" lockText="1" noThreeD="1"/>
</file>

<file path=xl/ctrlProps/ctrlProp42.xml><?xml version="1.0" encoding="utf-8"?>
<formControlPr xmlns="http://schemas.microsoft.com/office/spreadsheetml/2009/9/main" objectType="Radio" checked="Checked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Radio" checked="Checked" firstButton="1" fmlaLink="$G$15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Radio" firstButton="1" fmlaLink="$G$17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Radio" firstButton="1" fmlaLink="$G$19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Radio" firstButton="1" fmlaLink="$G$20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firstButton="1" fmlaLink="$I$10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GBox" noThreeD="1"/>
</file>

<file path=xl/ctrlProps/ctrlProp69.xml><?xml version="1.0" encoding="utf-8"?>
<formControlPr xmlns="http://schemas.microsoft.com/office/spreadsheetml/2009/9/main" objectType="Radio" firstButton="1" fmlaLink="$I$11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GBox" noThreeD="1"/>
</file>

<file path=xl/ctrlProps/ctrlProp72.xml><?xml version="1.0" encoding="utf-8"?>
<formControlPr xmlns="http://schemas.microsoft.com/office/spreadsheetml/2009/9/main" objectType="Radio" firstButton="1" fmlaLink="$I$4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GBox" noThreeD="1"/>
</file>

<file path=xl/ctrlProps/ctrlProp78.xml><?xml version="1.0" encoding="utf-8"?>
<formControlPr xmlns="http://schemas.microsoft.com/office/spreadsheetml/2009/9/main" objectType="GBox" noThreeD="1"/>
</file>

<file path=xl/ctrlProps/ctrlProp79.xml><?xml version="1.0" encoding="utf-8"?>
<formControlPr xmlns="http://schemas.microsoft.com/office/spreadsheetml/2009/9/main" objectType="Radio" firstButton="1" fmlaLink="$I$6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Radio" firstButton="1" fmlaLink="$I$7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GBox" noThreeD="1"/>
</file>

<file path=xl/ctrlProps/ctrlProp87.xml><?xml version="1.0" encoding="utf-8"?>
<formControlPr xmlns="http://schemas.microsoft.com/office/spreadsheetml/2009/9/main" objectType="GBox" noThreeD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GBox" noThreeD="1"/>
</file>

<file path=xl/ctrlProps/ctrlProp90.xml><?xml version="1.0" encoding="utf-8"?>
<formControlPr xmlns="http://schemas.microsoft.com/office/spreadsheetml/2009/9/main" objectType="GBox" noThreeD="1"/>
</file>

<file path=xl/ctrlProps/ctrlProp91.xml><?xml version="1.0" encoding="utf-8"?>
<formControlPr xmlns="http://schemas.microsoft.com/office/spreadsheetml/2009/9/main" objectType="Radio" firstButton="1" fmlaLink="$I$12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firstButton="1" fmlaLink="$I$13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firstButton="1" fmlaLink="$I$14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firstButton="1" fmlaLink="$I$15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firstButton="1" fmlaLink="$I$16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Radio" firstButton="1" fmlaLink="$I$17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firstButton="1" fmlaLink="$I$5" lockText="1" noThreeD="1"/>
</file>

<file path=xl/ctrlProps/ctrlProp106.xml><?xml version="1.0" encoding="utf-8"?>
<formControlPr xmlns="http://schemas.microsoft.com/office/spreadsheetml/2009/9/main" objectType="Radio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Radio" lockText="1" noThreeD="1"/>
</file>

<file path=xl/ctrlProps/ctrlProp110.xml><?xml version="1.0" encoding="utf-8"?>
<formControlPr xmlns="http://schemas.microsoft.com/office/spreadsheetml/2009/9/main" objectType="Radio" firstButton="1" fmlaLink="$I$8" lockText="1" noThreeD="1"/>
</file>

<file path=xl/ctrlProps/ctrlProp111.xml><?xml version="1.0" encoding="utf-8"?>
<formControlPr xmlns="http://schemas.microsoft.com/office/spreadsheetml/2009/9/main" objectType="Radio" lockText="1" noThreeD="1"/>
</file>

<file path=xl/ctrlProps/ctrlProp112.xml><?xml version="1.0" encoding="utf-8"?>
<formControlPr xmlns="http://schemas.microsoft.com/office/spreadsheetml/2009/9/main" objectType="GBox" noThreeD="1"/>
</file>

<file path=xl/ctrlProps/ctrlProp113.xml><?xml version="1.0" encoding="utf-8"?>
<formControlPr xmlns="http://schemas.microsoft.com/office/spreadsheetml/2009/9/main" objectType="Radio" firstButton="1" fmlaLink="$I$9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GBox" noThreeD="1"/>
</file>

<file path=xl/ctrlProps/ctrlProp116.xml><?xml version="1.0" encoding="utf-8"?>
<formControlPr xmlns="http://schemas.microsoft.com/office/spreadsheetml/2009/9/main" objectType="GBox" noThreeD="1"/>
</file>

<file path=xl/ctrlProps/ctrlProp117.xml><?xml version="1.0" encoding="utf-8"?>
<formControlPr xmlns="http://schemas.microsoft.com/office/spreadsheetml/2009/9/main" objectType="Radio" firstButton="1" fmlaLink="$I$4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Radio" lockText="1" noThreeD="1"/>
</file>

<file path=xl/ctrlProps/ctrlProp121.xml><?xml version="1.0" encoding="utf-8"?>
<formControlPr xmlns="http://schemas.microsoft.com/office/spreadsheetml/2009/9/main" objectType="GBox" noThreeD="1"/>
</file>

<file path=xl/ctrlProps/ctrlProp122.xml><?xml version="1.0" encoding="utf-8"?>
<formControlPr xmlns="http://schemas.microsoft.com/office/spreadsheetml/2009/9/main" objectType="Radio" firstButton="1" fmlaLink="$I$5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Radio" lockText="1" noThreeD="1"/>
</file>

<file path=xl/ctrlProps/ctrlProp125.xml><?xml version="1.0" encoding="utf-8"?>
<formControlPr xmlns="http://schemas.microsoft.com/office/spreadsheetml/2009/9/main" objectType="GBox" noThreeD="1"/>
</file>

<file path=xl/ctrlProps/ctrlProp126.xml><?xml version="1.0" encoding="utf-8"?>
<formControlPr xmlns="http://schemas.microsoft.com/office/spreadsheetml/2009/9/main" objectType="GBox" noThreeD="1"/>
</file>

<file path=xl/ctrlProps/ctrlProp127.xml><?xml version="1.0" encoding="utf-8"?>
<formControlPr xmlns="http://schemas.microsoft.com/office/spreadsheetml/2009/9/main" objectType="GBox" noThreeD="1"/>
</file>

<file path=xl/ctrlProps/ctrlProp128.xml><?xml version="1.0" encoding="utf-8"?>
<formControlPr xmlns="http://schemas.microsoft.com/office/spreadsheetml/2009/9/main" objectType="GBox" noThreeD="1"/>
</file>

<file path=xl/ctrlProps/ctrlProp129.xml><?xml version="1.0" encoding="utf-8"?>
<formControlPr xmlns="http://schemas.microsoft.com/office/spreadsheetml/2009/9/main" objectType="GBox" noThreeD="1"/>
</file>

<file path=xl/ctrlProps/ctrlProp130.xml><?xml version="1.0" encoding="utf-8"?>
<formControlPr xmlns="http://schemas.microsoft.com/office/spreadsheetml/2009/9/main" objectType="GBox" noThreeD="1"/>
</file>

<file path=xl/ctrlProps/ctrlProp131.xml><?xml version="1.0" encoding="utf-8"?>
<formControlPr xmlns="http://schemas.microsoft.com/office/spreadsheetml/2009/9/main" objectType="Radio" firstButton="1" fmlaLink="$I$10" lockText="1" noThreeD="1"/>
</file>

<file path=xl/ctrlProps/ctrlProp132.xml><?xml version="1.0" encoding="utf-8"?>
<formControlPr xmlns="http://schemas.microsoft.com/office/spreadsheetml/2009/9/main" objectType="Radio" lockText="1" noThreeD="1"/>
</file>

<file path=xl/ctrlProps/ctrlProp133.xml><?xml version="1.0" encoding="utf-8"?>
<formControlPr xmlns="http://schemas.microsoft.com/office/spreadsheetml/2009/9/main" objectType="Radio" firstButton="1" fmlaLink="$I$11" lockText="1" noThreeD="1"/>
</file>

<file path=xl/ctrlProps/ctrlProp134.xml><?xml version="1.0" encoding="utf-8"?>
<formControlPr xmlns="http://schemas.microsoft.com/office/spreadsheetml/2009/9/main" objectType="Radio" lockText="1" noThreeD="1"/>
</file>

<file path=xl/ctrlProps/ctrlProp135.xml><?xml version="1.0" encoding="utf-8"?>
<formControlPr xmlns="http://schemas.microsoft.com/office/spreadsheetml/2009/9/main" objectType="Radio" firstButton="1" fmlaLink="$I$12" lockText="1" noThreeD="1"/>
</file>

<file path=xl/ctrlProps/ctrlProp136.xml><?xml version="1.0" encoding="utf-8"?>
<formControlPr xmlns="http://schemas.microsoft.com/office/spreadsheetml/2009/9/main" objectType="Radio" lockText="1" noThreeD="1"/>
</file>

<file path=xl/ctrlProps/ctrlProp137.xml><?xml version="1.0" encoding="utf-8"?>
<formControlPr xmlns="http://schemas.microsoft.com/office/spreadsheetml/2009/9/main" objectType="Radio" firstButton="1" fmlaLink="$I$13" lockText="1" noThreeD="1"/>
</file>

<file path=xl/ctrlProps/ctrlProp138.xml><?xml version="1.0" encoding="utf-8"?>
<formControlPr xmlns="http://schemas.microsoft.com/office/spreadsheetml/2009/9/main" objectType="Radio" lockText="1" noThreeD="1"/>
</file>

<file path=xl/ctrlProps/ctrlProp139.xml><?xml version="1.0" encoding="utf-8"?>
<formControlPr xmlns="http://schemas.microsoft.com/office/spreadsheetml/2009/9/main" objectType="Radio" firstButton="1" fmlaLink="$I$14" lockText="1" noThreeD="1"/>
</file>

<file path=xl/ctrlProps/ctrlProp140.xml><?xml version="1.0" encoding="utf-8"?>
<formControlPr xmlns="http://schemas.microsoft.com/office/spreadsheetml/2009/9/main" objectType="Radio" lockText="1" noThreeD="1"/>
</file>

<file path=xl/ctrlProps/ctrlProp141.xml><?xml version="1.0" encoding="utf-8"?>
<formControlPr xmlns="http://schemas.microsoft.com/office/spreadsheetml/2009/9/main" objectType="Radio" firstButton="1" fmlaLink="$I$15" lockText="1" noThreeD="1"/>
</file>

<file path=xl/ctrlProps/ctrlProp142.xml><?xml version="1.0" encoding="utf-8"?>
<formControlPr xmlns="http://schemas.microsoft.com/office/spreadsheetml/2009/9/main" objectType="Radio" lockText="1" noThreeD="1"/>
</file>

<file path=xl/ctrlProps/ctrlProp143.xml><?xml version="1.0" encoding="utf-8"?>
<formControlPr xmlns="http://schemas.microsoft.com/office/spreadsheetml/2009/9/main" objectType="GBox" noThreeD="1"/>
</file>

<file path=xl/ctrlProps/ctrlProp144.xml><?xml version="1.0" encoding="utf-8"?>
<formControlPr xmlns="http://schemas.microsoft.com/office/spreadsheetml/2009/9/main" objectType="Radio" firstButton="1" fmlaLink="$I$16" lockText="1" noThreeD="1"/>
</file>

<file path=xl/ctrlProps/ctrlProp145.xml><?xml version="1.0" encoding="utf-8"?>
<formControlPr xmlns="http://schemas.microsoft.com/office/spreadsheetml/2009/9/main" objectType="Radio" lockText="1" noThreeD="1"/>
</file>

<file path=xl/ctrlProps/ctrlProp146.xml><?xml version="1.0" encoding="utf-8"?>
<formControlPr xmlns="http://schemas.microsoft.com/office/spreadsheetml/2009/9/main" objectType="Radio" lockText="1" noThreeD="1"/>
</file>

<file path=xl/ctrlProps/ctrlProp147.xml><?xml version="1.0" encoding="utf-8"?>
<formControlPr xmlns="http://schemas.microsoft.com/office/spreadsheetml/2009/9/main" objectType="Radio" firstButton="1" fmlaLink="$P$6" lockText="1" noThreeD="1"/>
</file>

<file path=xl/ctrlProps/ctrlProp148.xml><?xml version="1.0" encoding="utf-8"?>
<formControlPr xmlns="http://schemas.microsoft.com/office/spreadsheetml/2009/9/main" objectType="Radio" lockText="1" noThreeD="1"/>
</file>

<file path=xl/ctrlProps/ctrlProp149.xml><?xml version="1.0" encoding="utf-8"?>
<formControlPr xmlns="http://schemas.microsoft.com/office/spreadsheetml/2009/9/main" objectType="Radio" lockText="1" noThreeD="1"/>
</file>

<file path=xl/ctrlProps/ctrlProp150.xml><?xml version="1.0" encoding="utf-8"?>
<formControlPr xmlns="http://schemas.microsoft.com/office/spreadsheetml/2009/9/main" objectType="GBox" noThreeD="1"/>
</file>

<file path=xl/ctrlProps/ctrlProp151.xml><?xml version="1.0" encoding="utf-8"?>
<formControlPr xmlns="http://schemas.microsoft.com/office/spreadsheetml/2009/9/main" objectType="Radio" lockText="1" noThreeD="1"/>
</file>

<file path=xl/ctrlProps/ctrlProp152.xml><?xml version="1.0" encoding="utf-8"?>
<formControlPr xmlns="http://schemas.microsoft.com/office/spreadsheetml/2009/9/main" objectType="Radio" firstButton="1" fmlaLink="$P$7" lockText="1" noThreeD="1"/>
</file>

<file path=xl/ctrlProps/ctrlProp153.xml><?xml version="1.0" encoding="utf-8"?>
<formControlPr xmlns="http://schemas.microsoft.com/office/spreadsheetml/2009/9/main" objectType="Radio" lockText="1" noThreeD="1"/>
</file>

<file path=xl/ctrlProps/ctrlProp154.xml><?xml version="1.0" encoding="utf-8"?>
<formControlPr xmlns="http://schemas.microsoft.com/office/spreadsheetml/2009/9/main" objectType="Radio" lockText="1" noThreeD="1"/>
</file>

<file path=xl/ctrlProps/ctrlProp155.xml><?xml version="1.0" encoding="utf-8"?>
<formControlPr xmlns="http://schemas.microsoft.com/office/spreadsheetml/2009/9/main" objectType="GBox" noThreeD="1"/>
</file>

<file path=xl/ctrlProps/ctrlProp156.xml><?xml version="1.0" encoding="utf-8"?>
<formControlPr xmlns="http://schemas.microsoft.com/office/spreadsheetml/2009/9/main" objectType="Radio" lockText="1" noThreeD="1"/>
</file>

<file path=xl/ctrlProps/ctrlProp157.xml><?xml version="1.0" encoding="utf-8"?>
<formControlPr xmlns="http://schemas.microsoft.com/office/spreadsheetml/2009/9/main" objectType="Radio" firstButton="1" fmlaLink="$P$8" lockText="1" noThreeD="1"/>
</file>

<file path=xl/ctrlProps/ctrlProp158.xml><?xml version="1.0" encoding="utf-8"?>
<formControlPr xmlns="http://schemas.microsoft.com/office/spreadsheetml/2009/9/main" objectType="Radio" lockText="1" noThreeD="1"/>
</file>

<file path=xl/ctrlProps/ctrlProp159.xml><?xml version="1.0" encoding="utf-8"?>
<formControlPr xmlns="http://schemas.microsoft.com/office/spreadsheetml/2009/9/main" objectType="Radio" lockText="1" noThreeD="1"/>
</file>

<file path=xl/ctrlProps/ctrlProp160.xml><?xml version="1.0" encoding="utf-8"?>
<formControlPr xmlns="http://schemas.microsoft.com/office/spreadsheetml/2009/9/main" objectType="GBox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firstButton="1" fmlaLink="$P$9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GBox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Radio" firstButton="1" fmlaLink="$P$10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GBox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firstButton="1" fmlaLink="$R$6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GBox" noThreeD="1"/>
</file>

<file path=xl/ctrlProps/ctrlProp176.xml><?xml version="1.0" encoding="utf-8"?>
<formControlPr xmlns="http://schemas.microsoft.com/office/spreadsheetml/2009/9/main" objectType="Radio" lockText="1" noThreeD="1"/>
</file>

<file path=xl/ctrlProps/ctrlProp177.xml><?xml version="1.0" encoding="utf-8"?>
<formControlPr xmlns="http://schemas.microsoft.com/office/spreadsheetml/2009/9/main" objectType="Radio" firstButton="1" fmlaLink="$R$7" lockText="1" noThreeD="1"/>
</file>

<file path=xl/ctrlProps/ctrlProp178.xml><?xml version="1.0" encoding="utf-8"?>
<formControlPr xmlns="http://schemas.microsoft.com/office/spreadsheetml/2009/9/main" objectType="Radio" lockText="1" noThreeD="1"/>
</file>

<file path=xl/ctrlProps/ctrlProp179.xml><?xml version="1.0" encoding="utf-8"?>
<formControlPr xmlns="http://schemas.microsoft.com/office/spreadsheetml/2009/9/main" objectType="Radio" lockText="1" noThreeD="1"/>
</file>

<file path=xl/ctrlProps/ctrlProp180.xml><?xml version="1.0" encoding="utf-8"?>
<formControlPr xmlns="http://schemas.microsoft.com/office/spreadsheetml/2009/9/main" objectType="GBox" noThreeD="1"/>
</file>

<file path=xl/ctrlProps/ctrlProp181.xml><?xml version="1.0" encoding="utf-8"?>
<formControlPr xmlns="http://schemas.microsoft.com/office/spreadsheetml/2009/9/main" objectType="Radio" lockText="1" noThreeD="1"/>
</file>

<file path=xl/ctrlProps/ctrlProp182.xml><?xml version="1.0" encoding="utf-8"?>
<formControlPr xmlns="http://schemas.microsoft.com/office/spreadsheetml/2009/9/main" objectType="Radio" firstButton="1" fmlaLink="$R$8" lockText="1" noThreeD="1"/>
</file>

<file path=xl/ctrlProps/ctrlProp183.xml><?xml version="1.0" encoding="utf-8"?>
<formControlPr xmlns="http://schemas.microsoft.com/office/spreadsheetml/2009/9/main" objectType="Radio" lockText="1" noThreeD="1"/>
</file>

<file path=xl/ctrlProps/ctrlProp184.xml><?xml version="1.0" encoding="utf-8"?>
<formControlPr xmlns="http://schemas.microsoft.com/office/spreadsheetml/2009/9/main" objectType="Radio" lockText="1" noThreeD="1"/>
</file>

<file path=xl/ctrlProps/ctrlProp185.xml><?xml version="1.0" encoding="utf-8"?>
<formControlPr xmlns="http://schemas.microsoft.com/office/spreadsheetml/2009/9/main" objectType="GBox" noThreeD="1"/>
</file>

<file path=xl/ctrlProps/ctrlProp186.xml><?xml version="1.0" encoding="utf-8"?>
<formControlPr xmlns="http://schemas.microsoft.com/office/spreadsheetml/2009/9/main" objectType="Radio" lockText="1" noThreeD="1"/>
</file>

<file path=xl/ctrlProps/ctrlProp187.xml><?xml version="1.0" encoding="utf-8"?>
<formControlPr xmlns="http://schemas.microsoft.com/office/spreadsheetml/2009/9/main" objectType="Radio" firstButton="1" fmlaLink="$R$9" lockText="1" noThreeD="1"/>
</file>

<file path=xl/ctrlProps/ctrlProp188.xml><?xml version="1.0" encoding="utf-8"?>
<formControlPr xmlns="http://schemas.microsoft.com/office/spreadsheetml/2009/9/main" objectType="Radio" lockText="1" noThreeD="1"/>
</file>

<file path=xl/ctrlProps/ctrlProp189.xml><?xml version="1.0" encoding="utf-8"?>
<formControlPr xmlns="http://schemas.microsoft.com/office/spreadsheetml/2009/9/main" objectType="Radio" lockText="1" noThreeD="1"/>
</file>

<file path=xl/ctrlProps/ctrlProp190.xml><?xml version="1.0" encoding="utf-8"?>
<formControlPr xmlns="http://schemas.microsoft.com/office/spreadsheetml/2009/9/main" objectType="GBox" noThreeD="1"/>
</file>

<file path=xl/ctrlProps/ctrlProp191.xml><?xml version="1.0" encoding="utf-8"?>
<formControlPr xmlns="http://schemas.microsoft.com/office/spreadsheetml/2009/9/main" objectType="Radio" lockText="1" noThreeD="1"/>
</file>

<file path=xl/ctrlProps/ctrlProp192.xml><?xml version="1.0" encoding="utf-8"?>
<formControlPr xmlns="http://schemas.microsoft.com/office/spreadsheetml/2009/9/main" objectType="Radio" firstButton="1" fmlaLink="$R$10" lockText="1" noThreeD="1"/>
</file>

<file path=xl/ctrlProps/ctrlProp193.xml><?xml version="1.0" encoding="utf-8"?>
<formControlPr xmlns="http://schemas.microsoft.com/office/spreadsheetml/2009/9/main" objectType="Radio" lockText="1" noThreeD="1"/>
</file>

<file path=xl/ctrlProps/ctrlProp194.xml><?xml version="1.0" encoding="utf-8"?>
<formControlPr xmlns="http://schemas.microsoft.com/office/spreadsheetml/2009/9/main" objectType="Radio" lockText="1" noThreeD="1"/>
</file>

<file path=xl/ctrlProps/ctrlProp195.xml><?xml version="1.0" encoding="utf-8"?>
<formControlPr xmlns="http://schemas.microsoft.com/office/spreadsheetml/2009/9/main" objectType="GBox" noThreeD="1"/>
</file>

<file path=xl/ctrlProps/ctrlProp196.xml><?xml version="1.0" encoding="utf-8"?>
<formControlPr xmlns="http://schemas.microsoft.com/office/spreadsheetml/2009/9/main" objectType="Radio" lockText="1" noThreeD="1"/>
</file>

<file path=xl/ctrlProps/ctrlProp197.xml><?xml version="1.0" encoding="utf-8"?>
<formControlPr xmlns="http://schemas.microsoft.com/office/spreadsheetml/2009/9/main" objectType="Radio" firstButton="1" fmlaLink="$P$13" lockText="1" noThreeD="1"/>
</file>

<file path=xl/ctrlProps/ctrlProp198.xml><?xml version="1.0" encoding="utf-8"?>
<formControlPr xmlns="http://schemas.microsoft.com/office/spreadsheetml/2009/9/main" objectType="Radio" lockText="1" noThreeD="1"/>
</file>

<file path=xl/ctrlProps/ctrlProp199.xml><?xml version="1.0" encoding="utf-8"?>
<formControlPr xmlns="http://schemas.microsoft.com/office/spreadsheetml/2009/9/main" objectType="Radio" lockText="1" noThreeD="1"/>
</file>

<file path=xl/ctrlProps/ctrlProp200.xml><?xml version="1.0" encoding="utf-8"?>
<formControlPr xmlns="http://schemas.microsoft.com/office/spreadsheetml/2009/9/main" objectType="GBox" noThreeD="1"/>
</file>

<file path=xl/ctrlProps/ctrlProp201.xml><?xml version="1.0" encoding="utf-8"?>
<formControlPr xmlns="http://schemas.microsoft.com/office/spreadsheetml/2009/9/main" objectType="Radio" lockText="1" noThreeD="1"/>
</file>

<file path=xl/ctrlProps/ctrlProp202.xml><?xml version="1.0" encoding="utf-8"?>
<formControlPr xmlns="http://schemas.microsoft.com/office/spreadsheetml/2009/9/main" objectType="Radio" firstButton="1" fmlaLink="$P$14" lockText="1" noThreeD="1"/>
</file>

<file path=xl/ctrlProps/ctrlProp203.xml><?xml version="1.0" encoding="utf-8"?>
<formControlPr xmlns="http://schemas.microsoft.com/office/spreadsheetml/2009/9/main" objectType="Radio" lockText="1" noThreeD="1"/>
</file>

<file path=xl/ctrlProps/ctrlProp204.xml><?xml version="1.0" encoding="utf-8"?>
<formControlPr xmlns="http://schemas.microsoft.com/office/spreadsheetml/2009/9/main" objectType="Radio" lockText="1" noThreeD="1"/>
</file>

<file path=xl/ctrlProps/ctrlProp205.xml><?xml version="1.0" encoding="utf-8"?>
<formControlPr xmlns="http://schemas.microsoft.com/office/spreadsheetml/2009/9/main" objectType="GBox" noThreeD="1"/>
</file>

<file path=xl/ctrlProps/ctrlProp206.xml><?xml version="1.0" encoding="utf-8"?>
<formControlPr xmlns="http://schemas.microsoft.com/office/spreadsheetml/2009/9/main" objectType="Radio" lockText="1" noThreeD="1"/>
</file>

<file path=xl/ctrlProps/ctrlProp207.xml><?xml version="1.0" encoding="utf-8"?>
<formControlPr xmlns="http://schemas.microsoft.com/office/spreadsheetml/2009/9/main" objectType="Radio" firstButton="1" fmlaLink="$P$15" lockText="1" noThreeD="1"/>
</file>

<file path=xl/ctrlProps/ctrlProp208.xml><?xml version="1.0" encoding="utf-8"?>
<formControlPr xmlns="http://schemas.microsoft.com/office/spreadsheetml/2009/9/main" objectType="Radio" lockText="1" noThreeD="1"/>
</file>

<file path=xl/ctrlProps/ctrlProp209.xml><?xml version="1.0" encoding="utf-8"?>
<formControlPr xmlns="http://schemas.microsoft.com/office/spreadsheetml/2009/9/main" objectType="Radio" lockText="1" noThreeD="1"/>
</file>

<file path=xl/ctrlProps/ctrlProp210.xml><?xml version="1.0" encoding="utf-8"?>
<formControlPr xmlns="http://schemas.microsoft.com/office/spreadsheetml/2009/9/main" objectType="GBox" noThreeD="1"/>
</file>

<file path=xl/ctrlProps/ctrlProp211.xml><?xml version="1.0" encoding="utf-8"?>
<formControlPr xmlns="http://schemas.microsoft.com/office/spreadsheetml/2009/9/main" objectType="Radio" lockText="1" noThreeD="1"/>
</file>

<file path=xl/ctrlProps/ctrlProp212.xml><?xml version="1.0" encoding="utf-8"?>
<formControlPr xmlns="http://schemas.microsoft.com/office/spreadsheetml/2009/9/main" objectType="Radio" firstButton="1" fmlaLink="$P$16" lockText="1" noThreeD="1"/>
</file>

<file path=xl/ctrlProps/ctrlProp213.xml><?xml version="1.0" encoding="utf-8"?>
<formControlPr xmlns="http://schemas.microsoft.com/office/spreadsheetml/2009/9/main" objectType="Radio" lockText="1" noThreeD="1"/>
</file>

<file path=xl/ctrlProps/ctrlProp214.xml><?xml version="1.0" encoding="utf-8"?>
<formControlPr xmlns="http://schemas.microsoft.com/office/spreadsheetml/2009/9/main" objectType="Radio" lockText="1" noThreeD="1"/>
</file>

<file path=xl/ctrlProps/ctrlProp215.xml><?xml version="1.0" encoding="utf-8"?>
<formControlPr xmlns="http://schemas.microsoft.com/office/spreadsheetml/2009/9/main" objectType="GBox" noThreeD="1"/>
</file>

<file path=xl/ctrlProps/ctrlProp216.xml><?xml version="1.0" encoding="utf-8"?>
<formControlPr xmlns="http://schemas.microsoft.com/office/spreadsheetml/2009/9/main" objectType="Radio" lockText="1" noThreeD="1"/>
</file>

<file path=xl/ctrlProps/ctrlProp217.xml><?xml version="1.0" encoding="utf-8"?>
<formControlPr xmlns="http://schemas.microsoft.com/office/spreadsheetml/2009/9/main" objectType="Radio" firstButton="1" fmlaLink="$P$17" lockText="1" noThreeD="1"/>
</file>

<file path=xl/ctrlProps/ctrlProp218.xml><?xml version="1.0" encoding="utf-8"?>
<formControlPr xmlns="http://schemas.microsoft.com/office/spreadsheetml/2009/9/main" objectType="Radio" lockText="1" noThreeD="1"/>
</file>

<file path=xl/ctrlProps/ctrlProp219.xml><?xml version="1.0" encoding="utf-8"?>
<formControlPr xmlns="http://schemas.microsoft.com/office/spreadsheetml/2009/9/main" objectType="Radio" lockText="1" noThreeD="1"/>
</file>

<file path=xl/ctrlProps/ctrlProp220.xml><?xml version="1.0" encoding="utf-8"?>
<formControlPr xmlns="http://schemas.microsoft.com/office/spreadsheetml/2009/9/main" objectType="GBox" noThreeD="1"/>
</file>

<file path=xl/ctrlProps/ctrlProp221.xml><?xml version="1.0" encoding="utf-8"?>
<formControlPr xmlns="http://schemas.microsoft.com/office/spreadsheetml/2009/9/main" objectType="Radio" lockText="1" noThreeD="1"/>
</file>

<file path=xl/ctrlProps/ctrlProp222.xml><?xml version="1.0" encoding="utf-8"?>
<formControlPr xmlns="http://schemas.microsoft.com/office/spreadsheetml/2009/9/main" objectType="Radio" firstButton="1" fmlaLink="$R$13" lockText="1" noThreeD="1"/>
</file>

<file path=xl/ctrlProps/ctrlProp223.xml><?xml version="1.0" encoding="utf-8"?>
<formControlPr xmlns="http://schemas.microsoft.com/office/spreadsheetml/2009/9/main" objectType="Radio" lockText="1" noThreeD="1"/>
</file>

<file path=xl/ctrlProps/ctrlProp224.xml><?xml version="1.0" encoding="utf-8"?>
<formControlPr xmlns="http://schemas.microsoft.com/office/spreadsheetml/2009/9/main" objectType="Radio" lockText="1" noThreeD="1"/>
</file>

<file path=xl/ctrlProps/ctrlProp225.xml><?xml version="1.0" encoding="utf-8"?>
<formControlPr xmlns="http://schemas.microsoft.com/office/spreadsheetml/2009/9/main" objectType="GBox" noThreeD="1"/>
</file>

<file path=xl/ctrlProps/ctrlProp226.xml><?xml version="1.0" encoding="utf-8"?>
<formControlPr xmlns="http://schemas.microsoft.com/office/spreadsheetml/2009/9/main" objectType="Radio" lockText="1" noThreeD="1"/>
</file>

<file path=xl/ctrlProps/ctrlProp227.xml><?xml version="1.0" encoding="utf-8"?>
<formControlPr xmlns="http://schemas.microsoft.com/office/spreadsheetml/2009/9/main" objectType="Radio" firstButton="1" fmlaLink="$R$14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GBox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Radio" firstButton="1" fmlaLink="$R$15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GBox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firstButton="1" fmlaLink="$R$16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GBox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firstButton="1" fmlaLink="$R$17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Radio" lockText="1" noThreeD="1"/>
</file>

<file path=xl/ctrlProps/ctrlProp245.xml><?xml version="1.0" encoding="utf-8"?>
<formControlPr xmlns="http://schemas.microsoft.com/office/spreadsheetml/2009/9/main" objectType="GBox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Radio" firstButton="1" fmlaLink="$P$20" lockText="1" noThreeD="1"/>
</file>

<file path=xl/ctrlProps/ctrlProp248.xml><?xml version="1.0" encoding="utf-8"?>
<formControlPr xmlns="http://schemas.microsoft.com/office/spreadsheetml/2009/9/main" objectType="Radio" lockText="1" noThreeD="1"/>
</file>

<file path=xl/ctrlProps/ctrlProp249.xml><?xml version="1.0" encoding="utf-8"?>
<formControlPr xmlns="http://schemas.microsoft.com/office/spreadsheetml/2009/9/main" objectType="GBox" noThreeD="1"/>
</file>

<file path=xl/ctrlProps/ctrlProp250.xml><?xml version="1.0" encoding="utf-8"?>
<formControlPr xmlns="http://schemas.microsoft.com/office/spreadsheetml/2009/9/main" objectType="Radio" firstButton="1" fmlaLink="$P$21" lockText="1" noThreeD="1"/>
</file>

<file path=xl/ctrlProps/ctrlProp251.xml><?xml version="1.0" encoding="utf-8"?>
<formControlPr xmlns="http://schemas.microsoft.com/office/spreadsheetml/2009/9/main" objectType="Radio" lockText="1" noThreeD="1"/>
</file>

<file path=xl/ctrlProps/ctrlProp252.xml><?xml version="1.0" encoding="utf-8"?>
<formControlPr xmlns="http://schemas.microsoft.com/office/spreadsheetml/2009/9/main" objectType="GBox" noThreeD="1"/>
</file>

<file path=xl/ctrlProps/ctrlProp253.xml><?xml version="1.0" encoding="utf-8"?>
<formControlPr xmlns="http://schemas.microsoft.com/office/spreadsheetml/2009/9/main" objectType="Radio" firstButton="1" fmlaLink="$P$22" lockText="1" noThreeD="1"/>
</file>

<file path=xl/ctrlProps/ctrlProp254.xml><?xml version="1.0" encoding="utf-8"?>
<formControlPr xmlns="http://schemas.microsoft.com/office/spreadsheetml/2009/9/main" objectType="Radio" lockText="1" noThreeD="1"/>
</file>

<file path=xl/ctrlProps/ctrlProp255.xml><?xml version="1.0" encoding="utf-8"?>
<formControlPr xmlns="http://schemas.microsoft.com/office/spreadsheetml/2009/9/main" objectType="GBox" noThreeD="1"/>
</file>

<file path=xl/ctrlProps/ctrlProp256.xml><?xml version="1.0" encoding="utf-8"?>
<formControlPr xmlns="http://schemas.microsoft.com/office/spreadsheetml/2009/9/main" objectType="Radio" firstButton="1" fmlaLink="$P$23" lockText="1" noThreeD="1"/>
</file>

<file path=xl/ctrlProps/ctrlProp257.xml><?xml version="1.0" encoding="utf-8"?>
<formControlPr xmlns="http://schemas.microsoft.com/office/spreadsheetml/2009/9/main" objectType="Radio" lockText="1" noThreeD="1"/>
</file>

<file path=xl/ctrlProps/ctrlProp258.xml><?xml version="1.0" encoding="utf-8"?>
<formControlPr xmlns="http://schemas.microsoft.com/office/spreadsheetml/2009/9/main" objectType="GBox" noThreeD="1"/>
</file>

<file path=xl/ctrlProps/ctrlProp259.xml><?xml version="1.0" encoding="utf-8"?>
<formControlPr xmlns="http://schemas.microsoft.com/office/spreadsheetml/2009/9/main" objectType="Radio" firstButton="1" fmlaLink="$P$24" lockText="1" noThreeD="1"/>
</file>

<file path=xl/ctrlProps/ctrlProp260.xml><?xml version="1.0" encoding="utf-8"?>
<formControlPr xmlns="http://schemas.microsoft.com/office/spreadsheetml/2009/9/main" objectType="Radio" lockText="1" noThreeD="1"/>
</file>

<file path=xl/ctrlProps/ctrlProp261.xml><?xml version="1.0" encoding="utf-8"?>
<formControlPr xmlns="http://schemas.microsoft.com/office/spreadsheetml/2009/9/main" objectType="GBox" noThreeD="1"/>
</file>

<file path=xl/ctrlProps/ctrlProp262.xml><?xml version="1.0" encoding="utf-8"?>
<formControlPr xmlns="http://schemas.microsoft.com/office/spreadsheetml/2009/9/main" objectType="Radio" firstButton="1" fmlaLink="$P$25" lockText="1" noThreeD="1"/>
</file>

<file path=xl/ctrlProps/ctrlProp263.xml><?xml version="1.0" encoding="utf-8"?>
<formControlPr xmlns="http://schemas.microsoft.com/office/spreadsheetml/2009/9/main" objectType="Radio" lockText="1" noThreeD="1"/>
</file>

<file path=xl/ctrlProps/ctrlProp264.xml><?xml version="1.0" encoding="utf-8"?>
<formControlPr xmlns="http://schemas.microsoft.com/office/spreadsheetml/2009/9/main" objectType="GBox" noThreeD="1"/>
</file>

<file path=xl/ctrlProps/ctrlProp265.xml><?xml version="1.0" encoding="utf-8"?>
<formControlPr xmlns="http://schemas.microsoft.com/office/spreadsheetml/2009/9/main" objectType="Radio" firstButton="1" fmlaLink="$P$26" lockText="1" noThreeD="1"/>
</file>

<file path=xl/ctrlProps/ctrlProp266.xml><?xml version="1.0" encoding="utf-8"?>
<formControlPr xmlns="http://schemas.microsoft.com/office/spreadsheetml/2009/9/main" objectType="Radio" lockText="1" noThreeD="1"/>
</file>

<file path=xl/ctrlProps/ctrlProp267.xml><?xml version="1.0" encoding="utf-8"?>
<formControlPr xmlns="http://schemas.microsoft.com/office/spreadsheetml/2009/9/main" objectType="GBox" noThreeD="1"/>
</file>

<file path=xl/ctrlProps/ctrlProp268.xml><?xml version="1.0" encoding="utf-8"?>
<formControlPr xmlns="http://schemas.microsoft.com/office/spreadsheetml/2009/9/main" objectType="Radio" firstButton="1" fmlaLink="$P$27" lockText="1" noThreeD="1"/>
</file>

<file path=xl/ctrlProps/ctrlProp269.xml><?xml version="1.0" encoding="utf-8"?>
<formControlPr xmlns="http://schemas.microsoft.com/office/spreadsheetml/2009/9/main" objectType="Radio" lockText="1" noThreeD="1"/>
</file>

<file path=xl/ctrlProps/ctrlProp270.xml><?xml version="1.0" encoding="utf-8"?>
<formControlPr xmlns="http://schemas.microsoft.com/office/spreadsheetml/2009/9/main" objectType="GBox" noThreeD="1"/>
</file>

<file path=xl/ctrlProps/ctrlProp271.xml><?xml version="1.0" encoding="utf-8"?>
<formControlPr xmlns="http://schemas.microsoft.com/office/spreadsheetml/2009/9/main" objectType="Radio" firstButton="1" fmlaLink="$H$4" lockText="1" noThreeD="1"/>
</file>

<file path=xl/ctrlProps/ctrlProp272.xml><?xml version="1.0" encoding="utf-8"?>
<formControlPr xmlns="http://schemas.microsoft.com/office/spreadsheetml/2009/9/main" objectType="Radio" lockText="1" noThreeD="1"/>
</file>

<file path=xl/ctrlProps/ctrlProp273.xml><?xml version="1.0" encoding="utf-8"?>
<formControlPr xmlns="http://schemas.microsoft.com/office/spreadsheetml/2009/9/main" objectType="Radio" lockText="1" noThreeD="1"/>
</file>

<file path=xl/ctrlProps/ctrlProp274.xml><?xml version="1.0" encoding="utf-8"?>
<formControlPr xmlns="http://schemas.microsoft.com/office/spreadsheetml/2009/9/main" objectType="Radio" lockText="1" noThreeD="1"/>
</file>

<file path=xl/ctrlProps/ctrlProp275.xml><?xml version="1.0" encoding="utf-8"?>
<formControlPr xmlns="http://schemas.microsoft.com/office/spreadsheetml/2009/9/main" objectType="GBox" noThreeD="1"/>
</file>

<file path=xl/ctrlProps/ctrlProp276.xml><?xml version="1.0" encoding="utf-8"?>
<formControlPr xmlns="http://schemas.microsoft.com/office/spreadsheetml/2009/9/main" objectType="Radio" firstButton="1" fmlaLink="$H$5" lockText="1" noThreeD="1"/>
</file>

<file path=xl/ctrlProps/ctrlProp277.xml><?xml version="1.0" encoding="utf-8"?>
<formControlPr xmlns="http://schemas.microsoft.com/office/spreadsheetml/2009/9/main" objectType="Radio" lockText="1" noThreeD="1"/>
</file>

<file path=xl/ctrlProps/ctrlProp278.xml><?xml version="1.0" encoding="utf-8"?>
<formControlPr xmlns="http://schemas.microsoft.com/office/spreadsheetml/2009/9/main" objectType="GBox" noThreeD="1"/>
</file>

<file path=xl/ctrlProps/ctrlProp279.xml><?xml version="1.0" encoding="utf-8"?>
<formControlPr xmlns="http://schemas.microsoft.com/office/spreadsheetml/2009/9/main" objectType="Radio" firstButton="1" fmlaLink="$H$6" lockText="1" noThreeD="1"/>
</file>

<file path=xl/ctrlProps/ctrlProp280.xml><?xml version="1.0" encoding="utf-8"?>
<formControlPr xmlns="http://schemas.microsoft.com/office/spreadsheetml/2009/9/main" objectType="Radio" lockText="1" noThreeD="1"/>
</file>

<file path=xl/ctrlProps/ctrlProp281.xml><?xml version="1.0" encoding="utf-8"?>
<formControlPr xmlns="http://schemas.microsoft.com/office/spreadsheetml/2009/9/main" objectType="Radio" lockText="1" noThreeD="1"/>
</file>

<file path=xl/ctrlProps/ctrlProp282.xml><?xml version="1.0" encoding="utf-8"?>
<formControlPr xmlns="http://schemas.microsoft.com/office/spreadsheetml/2009/9/main" objectType="GBox" noThreeD="1"/>
</file>

<file path=xl/ctrlProps/ctrlProp283.xml><?xml version="1.0" encoding="utf-8"?>
<formControlPr xmlns="http://schemas.microsoft.com/office/spreadsheetml/2009/9/main" objectType="Radio" firstButton="1" fmlaLink="$H$7" lockText="1" noThreeD="1"/>
</file>

<file path=xl/ctrlProps/ctrlProp284.xml><?xml version="1.0" encoding="utf-8"?>
<formControlPr xmlns="http://schemas.microsoft.com/office/spreadsheetml/2009/9/main" objectType="Radio" lockText="1" noThreeD="1"/>
</file>

<file path=xl/ctrlProps/ctrlProp285.xml><?xml version="1.0" encoding="utf-8"?>
<formControlPr xmlns="http://schemas.microsoft.com/office/spreadsheetml/2009/9/main" objectType="Radio" lockText="1" noThreeD="1"/>
</file>

<file path=xl/ctrlProps/ctrlProp286.xml><?xml version="1.0" encoding="utf-8"?>
<formControlPr xmlns="http://schemas.microsoft.com/office/spreadsheetml/2009/9/main" objectType="Radio" lockText="1" noThreeD="1"/>
</file>

<file path=xl/ctrlProps/ctrlProp287.xml><?xml version="1.0" encoding="utf-8"?>
<formControlPr xmlns="http://schemas.microsoft.com/office/spreadsheetml/2009/9/main" objectType="GBox" noThreeD="1"/>
</file>

<file path=xl/ctrlProps/ctrlProp288.xml><?xml version="1.0" encoding="utf-8"?>
<formControlPr xmlns="http://schemas.microsoft.com/office/spreadsheetml/2009/9/main" objectType="Radio" firstButton="1" fmlaLink="$H$8" lockText="1" noThreeD="1"/>
</file>

<file path=xl/ctrlProps/ctrlProp289.xml><?xml version="1.0" encoding="utf-8"?>
<formControlPr xmlns="http://schemas.microsoft.com/office/spreadsheetml/2009/9/main" objectType="Radio" lockText="1" noThreeD="1"/>
</file>

<file path=xl/ctrlProps/ctrlProp290.xml><?xml version="1.0" encoding="utf-8"?>
<formControlPr xmlns="http://schemas.microsoft.com/office/spreadsheetml/2009/9/main" objectType="GBox" noThreeD="1"/>
</file>

<file path=xl/ctrlProps/ctrlProp291.xml><?xml version="1.0" encoding="utf-8"?>
<formControlPr xmlns="http://schemas.microsoft.com/office/spreadsheetml/2009/9/main" objectType="Radio" firstButton="1" fmlaLink="$H$9" lockText="1" noThreeD="1"/>
</file>

<file path=xl/ctrlProps/ctrlProp292.xml><?xml version="1.0" encoding="utf-8"?>
<formControlPr xmlns="http://schemas.microsoft.com/office/spreadsheetml/2009/9/main" objectType="Radio" lockText="1" noThreeD="1"/>
</file>

<file path=xl/ctrlProps/ctrlProp293.xml><?xml version="1.0" encoding="utf-8"?>
<formControlPr xmlns="http://schemas.microsoft.com/office/spreadsheetml/2009/9/main" objectType="Radio" lockText="1" noThreeD="1"/>
</file>

<file path=xl/ctrlProps/ctrlProp294.xml><?xml version="1.0" encoding="utf-8"?>
<formControlPr xmlns="http://schemas.microsoft.com/office/spreadsheetml/2009/9/main" objectType="GBox" noThreeD="1"/>
</file>

<file path=xl/ctrlProps/ctrlProp295.xml><?xml version="1.0" encoding="utf-8"?>
<formControlPr xmlns="http://schemas.microsoft.com/office/spreadsheetml/2009/9/main" objectType="Radio" firstButton="1" fmlaLink="$H$10" lockText="1" noThreeD="1"/>
</file>

<file path=xl/ctrlProps/ctrlProp296.xml><?xml version="1.0" encoding="utf-8"?>
<formControlPr xmlns="http://schemas.microsoft.com/office/spreadsheetml/2009/9/main" objectType="Radio" lockText="1" noThreeD="1"/>
</file>

<file path=xl/ctrlProps/ctrlProp297.xml><?xml version="1.0" encoding="utf-8"?>
<formControlPr xmlns="http://schemas.microsoft.com/office/spreadsheetml/2009/9/main" objectType="GBox" noThreeD="1"/>
</file>

<file path=xl/ctrlProps/ctrlProp298.xml><?xml version="1.0" encoding="utf-8"?>
<formControlPr xmlns="http://schemas.microsoft.com/office/spreadsheetml/2009/9/main" objectType="Radio" lockText="1" noThreeD="1"/>
</file>

<file path=xl/ctrlProps/ctrlProp299.xml><?xml version="1.0" encoding="utf-8"?>
<formControlPr xmlns="http://schemas.microsoft.com/office/spreadsheetml/2009/9/main" objectType="Radio" lockText="1" noThreeD="1"/>
</file>

<file path=xl/ctrlProps/ctrlProp300.xml><?xml version="1.0" encoding="utf-8"?>
<formControlPr xmlns="http://schemas.microsoft.com/office/spreadsheetml/2009/9/main" objectType="Radio" lockText="1" noThreeD="1"/>
</file>

<file path=xl/ctrlProps/ctrlProp301.xml><?xml version="1.0" encoding="utf-8"?>
<formControlPr xmlns="http://schemas.microsoft.com/office/spreadsheetml/2009/9/main" objectType="Radio" lockText="1" noThreeD="1"/>
</file>

<file path=xl/ctrlProps/ctrlProp302.xml><?xml version="1.0" encoding="utf-8"?>
<formControlPr xmlns="http://schemas.microsoft.com/office/spreadsheetml/2009/9/main" objectType="Radio" lockText="1" noThreeD="1"/>
</file>

<file path=xl/ctrlProps/ctrlProp303.xml><?xml version="1.0" encoding="utf-8"?>
<formControlPr xmlns="http://schemas.microsoft.com/office/spreadsheetml/2009/9/main" objectType="GBox" noThreeD="1"/>
</file>

<file path=xl/ctrlProps/ctrlProp304.xml><?xml version="1.0" encoding="utf-8"?>
<formControlPr xmlns="http://schemas.microsoft.com/office/spreadsheetml/2009/9/main" objectType="Radio" firstButton="1" fmlaLink="$N$7" lockText="1" noThreeD="1"/>
</file>

<file path=xl/ctrlProps/ctrlProp305.xml><?xml version="1.0" encoding="utf-8"?>
<formControlPr xmlns="http://schemas.microsoft.com/office/spreadsheetml/2009/9/main" objectType="Radio" lockText="1" noThreeD="1"/>
</file>

<file path=xl/ctrlProps/ctrlProp306.xml><?xml version="1.0" encoding="utf-8"?>
<formControlPr xmlns="http://schemas.microsoft.com/office/spreadsheetml/2009/9/main" objectType="GBox" noThreeD="1"/>
</file>

<file path=xl/ctrlProps/ctrlProp307.xml><?xml version="1.0" encoding="utf-8"?>
<formControlPr xmlns="http://schemas.microsoft.com/office/spreadsheetml/2009/9/main" objectType="Radio" firstButton="1" fmlaLink="$N$8" lockText="1" noThreeD="1"/>
</file>

<file path=xl/ctrlProps/ctrlProp308.xml><?xml version="1.0" encoding="utf-8"?>
<formControlPr xmlns="http://schemas.microsoft.com/office/spreadsheetml/2009/9/main" objectType="Radio" lockText="1" noThreeD="1"/>
</file>

<file path=xl/ctrlProps/ctrlProp309.xml><?xml version="1.0" encoding="utf-8"?>
<formControlPr xmlns="http://schemas.microsoft.com/office/spreadsheetml/2009/9/main" objectType="GBox" noThreeD="1"/>
</file>

<file path=xl/ctrlProps/ctrlProp310.xml><?xml version="1.0" encoding="utf-8"?>
<formControlPr xmlns="http://schemas.microsoft.com/office/spreadsheetml/2009/9/main" objectType="Radio" firstButton="1" fmlaLink="$N$9" lockText="1" noThreeD="1"/>
</file>

<file path=xl/ctrlProps/ctrlProp311.xml><?xml version="1.0" encoding="utf-8"?>
<formControlPr xmlns="http://schemas.microsoft.com/office/spreadsheetml/2009/9/main" objectType="Radio" lockText="1" noThreeD="1"/>
</file>

<file path=xl/ctrlProps/ctrlProp312.xml><?xml version="1.0" encoding="utf-8"?>
<formControlPr xmlns="http://schemas.microsoft.com/office/spreadsheetml/2009/9/main" objectType="GBox" noThreeD="1"/>
</file>

<file path=xl/ctrlProps/ctrlProp313.xml><?xml version="1.0" encoding="utf-8"?>
<formControlPr xmlns="http://schemas.microsoft.com/office/spreadsheetml/2009/9/main" objectType="Radio" firstButton="1" fmlaLink="$N$10" lockText="1" noThreeD="1"/>
</file>

<file path=xl/ctrlProps/ctrlProp314.xml><?xml version="1.0" encoding="utf-8"?>
<formControlPr xmlns="http://schemas.microsoft.com/office/spreadsheetml/2009/9/main" objectType="Radio" lockText="1" noThreeD="1"/>
</file>

<file path=xl/ctrlProps/ctrlProp315.xml><?xml version="1.0" encoding="utf-8"?>
<formControlPr xmlns="http://schemas.microsoft.com/office/spreadsheetml/2009/9/main" objectType="GBox" noThreeD="1"/>
</file>

<file path=xl/ctrlProps/ctrlProp316.xml><?xml version="1.0" encoding="utf-8"?>
<formControlPr xmlns="http://schemas.microsoft.com/office/spreadsheetml/2009/9/main" objectType="Radio" firstButton="1" fmlaLink="$N$11" lockText="1" noThreeD="1"/>
</file>

<file path=xl/ctrlProps/ctrlProp317.xml><?xml version="1.0" encoding="utf-8"?>
<formControlPr xmlns="http://schemas.microsoft.com/office/spreadsheetml/2009/9/main" objectType="Radio" lockText="1" noThreeD="1"/>
</file>

<file path=xl/ctrlProps/ctrlProp318.xml><?xml version="1.0" encoding="utf-8"?>
<formControlPr xmlns="http://schemas.microsoft.com/office/spreadsheetml/2009/9/main" objectType="GBox" noThreeD="1"/>
</file>

<file path=xl/ctrlProps/ctrlProp319.xml><?xml version="1.0" encoding="utf-8"?>
<formControlPr xmlns="http://schemas.microsoft.com/office/spreadsheetml/2009/9/main" objectType="Radio" firstButton="1" fmlaLink="$N$12" lockText="1" noThreeD="1"/>
</file>

<file path=xl/ctrlProps/ctrlProp320.xml><?xml version="1.0" encoding="utf-8"?>
<formControlPr xmlns="http://schemas.microsoft.com/office/spreadsheetml/2009/9/main" objectType="Radio" lockText="1" noThreeD="1"/>
</file>

<file path=xl/ctrlProps/ctrlProp321.xml><?xml version="1.0" encoding="utf-8"?>
<formControlPr xmlns="http://schemas.microsoft.com/office/spreadsheetml/2009/9/main" objectType="GBox" noThreeD="1"/>
</file>

<file path=xl/ctrlProps/ctrlProp322.xml><?xml version="1.0" encoding="utf-8"?>
<formControlPr xmlns="http://schemas.microsoft.com/office/spreadsheetml/2009/9/main" objectType="Radio" firstButton="1" fmlaLink="$N$13" lockText="1" noThreeD="1"/>
</file>

<file path=xl/ctrlProps/ctrlProp323.xml><?xml version="1.0" encoding="utf-8"?>
<formControlPr xmlns="http://schemas.microsoft.com/office/spreadsheetml/2009/9/main" objectType="Radio" lockText="1" noThreeD="1"/>
</file>

<file path=xl/ctrlProps/ctrlProp324.xml><?xml version="1.0" encoding="utf-8"?>
<formControlPr xmlns="http://schemas.microsoft.com/office/spreadsheetml/2009/9/main" objectType="GBox" noThreeD="1"/>
</file>

<file path=xl/ctrlProps/ctrlProp325.xml><?xml version="1.0" encoding="utf-8"?>
<formControlPr xmlns="http://schemas.microsoft.com/office/spreadsheetml/2009/9/main" objectType="Radio" firstButton="1" fmlaLink="$N$15" lockText="1" noThreeD="1"/>
</file>

<file path=xl/ctrlProps/ctrlProp326.xml><?xml version="1.0" encoding="utf-8"?>
<formControlPr xmlns="http://schemas.microsoft.com/office/spreadsheetml/2009/9/main" objectType="Radio" lockText="1" noThreeD="1"/>
</file>

<file path=xl/ctrlProps/ctrlProp327.xml><?xml version="1.0" encoding="utf-8"?>
<formControlPr xmlns="http://schemas.microsoft.com/office/spreadsheetml/2009/9/main" objectType="Radio" firstButton="1" fmlaLink="$P$7" lockText="1" noThreeD="1"/>
</file>

<file path=xl/ctrlProps/ctrlProp328.xml><?xml version="1.0" encoding="utf-8"?>
<formControlPr xmlns="http://schemas.microsoft.com/office/spreadsheetml/2009/9/main" objectType="Radio" lockText="1" noThreeD="1"/>
</file>

<file path=xl/ctrlProps/ctrlProp329.xml><?xml version="1.0" encoding="utf-8"?>
<formControlPr xmlns="http://schemas.microsoft.com/office/spreadsheetml/2009/9/main" objectType="Radio" lockText="1" noThreeD="1"/>
</file>

<file path=xl/ctrlProps/ctrlProp330.xml><?xml version="1.0" encoding="utf-8"?>
<formControlPr xmlns="http://schemas.microsoft.com/office/spreadsheetml/2009/9/main" objectType="GBox" noThreeD="1"/>
</file>

<file path=xl/ctrlProps/ctrlProp331.xml><?xml version="1.0" encoding="utf-8"?>
<formControlPr xmlns="http://schemas.microsoft.com/office/spreadsheetml/2009/9/main" objectType="Radio" firstButton="1" fmlaLink="$P$8" lockText="1" noThreeD="1"/>
</file>

<file path=xl/ctrlProps/ctrlProp332.xml><?xml version="1.0" encoding="utf-8"?>
<formControlPr xmlns="http://schemas.microsoft.com/office/spreadsheetml/2009/9/main" objectType="Radio" lockText="1" noThreeD="1"/>
</file>

<file path=xl/ctrlProps/ctrlProp333.xml><?xml version="1.0" encoding="utf-8"?>
<formControlPr xmlns="http://schemas.microsoft.com/office/spreadsheetml/2009/9/main" objectType="Radio" lockText="1" noThreeD="1"/>
</file>

<file path=xl/ctrlProps/ctrlProp334.xml><?xml version="1.0" encoding="utf-8"?>
<formControlPr xmlns="http://schemas.microsoft.com/office/spreadsheetml/2009/9/main" objectType="GBox" noThreeD="1"/>
</file>

<file path=xl/ctrlProps/ctrlProp335.xml><?xml version="1.0" encoding="utf-8"?>
<formControlPr xmlns="http://schemas.microsoft.com/office/spreadsheetml/2009/9/main" objectType="Radio" firstButton="1" fmlaLink="$P$9" lockText="1" noThreeD="1"/>
</file>

<file path=xl/ctrlProps/ctrlProp336.xml><?xml version="1.0" encoding="utf-8"?>
<formControlPr xmlns="http://schemas.microsoft.com/office/spreadsheetml/2009/9/main" objectType="Radio" lockText="1" noThreeD="1"/>
</file>

<file path=xl/ctrlProps/ctrlProp337.xml><?xml version="1.0" encoding="utf-8"?>
<formControlPr xmlns="http://schemas.microsoft.com/office/spreadsheetml/2009/9/main" objectType="Radio" lockText="1" noThreeD="1"/>
</file>

<file path=xl/ctrlProps/ctrlProp338.xml><?xml version="1.0" encoding="utf-8"?>
<formControlPr xmlns="http://schemas.microsoft.com/office/spreadsheetml/2009/9/main" objectType="GBox" noThreeD="1"/>
</file>

<file path=xl/ctrlProps/ctrlProp339.xml><?xml version="1.0" encoding="utf-8"?>
<formControlPr xmlns="http://schemas.microsoft.com/office/spreadsheetml/2009/9/main" objectType="Radio" firstButton="1" fmlaLink="$P$10" lockText="1" noThreeD="1"/>
</file>

<file path=xl/ctrlProps/ctrlProp340.xml><?xml version="1.0" encoding="utf-8"?>
<formControlPr xmlns="http://schemas.microsoft.com/office/spreadsheetml/2009/9/main" objectType="Radio" lockText="1" noThreeD="1"/>
</file>

<file path=xl/ctrlProps/ctrlProp341.xml><?xml version="1.0" encoding="utf-8"?>
<formControlPr xmlns="http://schemas.microsoft.com/office/spreadsheetml/2009/9/main" objectType="Radio" lockText="1" noThreeD="1"/>
</file>

<file path=xl/ctrlProps/ctrlProp342.xml><?xml version="1.0" encoding="utf-8"?>
<formControlPr xmlns="http://schemas.microsoft.com/office/spreadsheetml/2009/9/main" objectType="GBox" noThreeD="1"/>
</file>

<file path=xl/ctrlProps/ctrlProp343.xml><?xml version="1.0" encoding="utf-8"?>
<formControlPr xmlns="http://schemas.microsoft.com/office/spreadsheetml/2009/9/main" objectType="Radio" firstButton="1" fmlaLink="$P$11" lockText="1" noThreeD="1"/>
</file>

<file path=xl/ctrlProps/ctrlProp344.xml><?xml version="1.0" encoding="utf-8"?>
<formControlPr xmlns="http://schemas.microsoft.com/office/spreadsheetml/2009/9/main" objectType="Radio" lockText="1" noThreeD="1"/>
</file>

<file path=xl/ctrlProps/ctrlProp345.xml><?xml version="1.0" encoding="utf-8"?>
<formControlPr xmlns="http://schemas.microsoft.com/office/spreadsheetml/2009/9/main" objectType="Radio" lockText="1" noThreeD="1"/>
</file>

<file path=xl/ctrlProps/ctrlProp346.xml><?xml version="1.0" encoding="utf-8"?>
<formControlPr xmlns="http://schemas.microsoft.com/office/spreadsheetml/2009/9/main" objectType="GBox" noThreeD="1"/>
</file>

<file path=xl/ctrlProps/ctrlProp347.xml><?xml version="1.0" encoding="utf-8"?>
<formControlPr xmlns="http://schemas.microsoft.com/office/spreadsheetml/2009/9/main" objectType="Radio" firstButton="1" fmlaLink="$P$12" lockText="1" noThreeD="1"/>
</file>

<file path=xl/ctrlProps/ctrlProp348.xml><?xml version="1.0" encoding="utf-8"?>
<formControlPr xmlns="http://schemas.microsoft.com/office/spreadsheetml/2009/9/main" objectType="Radio" lockText="1" noThreeD="1"/>
</file>

<file path=xl/ctrlProps/ctrlProp349.xml><?xml version="1.0" encoding="utf-8"?>
<formControlPr xmlns="http://schemas.microsoft.com/office/spreadsheetml/2009/9/main" objectType="Radio" lockText="1" noThreeD="1"/>
</file>

<file path=xl/ctrlProps/ctrlProp350.xml><?xml version="1.0" encoding="utf-8"?>
<formControlPr xmlns="http://schemas.microsoft.com/office/spreadsheetml/2009/9/main" objectType="GBox" noThreeD="1"/>
</file>

<file path=xl/ctrlProps/ctrlProp351.xml><?xml version="1.0" encoding="utf-8"?>
<formControlPr xmlns="http://schemas.microsoft.com/office/spreadsheetml/2009/9/main" objectType="Radio" firstButton="1" fmlaLink="$P$13" lockText="1" noThreeD="1"/>
</file>

<file path=xl/ctrlProps/ctrlProp352.xml><?xml version="1.0" encoding="utf-8"?>
<formControlPr xmlns="http://schemas.microsoft.com/office/spreadsheetml/2009/9/main" objectType="Radio" lockText="1" noThreeD="1"/>
</file>

<file path=xl/ctrlProps/ctrlProp353.xml><?xml version="1.0" encoding="utf-8"?>
<formControlPr xmlns="http://schemas.microsoft.com/office/spreadsheetml/2009/9/main" objectType="Radio" lockText="1" noThreeD="1"/>
</file>

<file path=xl/ctrlProps/ctrlProp354.xml><?xml version="1.0" encoding="utf-8"?>
<formControlPr xmlns="http://schemas.microsoft.com/office/spreadsheetml/2009/9/main" objectType="GBox" noThreeD="1"/>
</file>

<file path=xl/ctrlProps/ctrlProp355.xml><?xml version="1.0" encoding="utf-8"?>
<formControlPr xmlns="http://schemas.microsoft.com/office/spreadsheetml/2009/9/main" objectType="Radio" firstButton="1" fmlaLink="$R$7" lockText="1" noThreeD="1"/>
</file>

<file path=xl/ctrlProps/ctrlProp356.xml><?xml version="1.0" encoding="utf-8"?>
<formControlPr xmlns="http://schemas.microsoft.com/office/spreadsheetml/2009/9/main" objectType="Radio" lockText="1" noThreeD="1"/>
</file>

<file path=xl/ctrlProps/ctrlProp357.xml><?xml version="1.0" encoding="utf-8"?>
<formControlPr xmlns="http://schemas.microsoft.com/office/spreadsheetml/2009/9/main" objectType="Radio" lockText="1" noThreeD="1"/>
</file>

<file path=xl/ctrlProps/ctrlProp358.xml><?xml version="1.0" encoding="utf-8"?>
<formControlPr xmlns="http://schemas.microsoft.com/office/spreadsheetml/2009/9/main" objectType="Radio" lockText="1" noThreeD="1"/>
</file>

<file path=xl/ctrlProps/ctrlProp359.xml><?xml version="1.0" encoding="utf-8"?>
<formControlPr xmlns="http://schemas.microsoft.com/office/spreadsheetml/2009/9/main" objectType="GBox" noThreeD="1"/>
</file>

<file path=xl/ctrlProps/ctrlProp360.xml><?xml version="1.0" encoding="utf-8"?>
<formControlPr xmlns="http://schemas.microsoft.com/office/spreadsheetml/2009/9/main" objectType="Radio" firstButton="1" fmlaLink="$R$8" lockText="1" noThreeD="1"/>
</file>

<file path=xl/ctrlProps/ctrlProp361.xml><?xml version="1.0" encoding="utf-8"?>
<formControlPr xmlns="http://schemas.microsoft.com/office/spreadsheetml/2009/9/main" objectType="Radio" lockText="1" noThreeD="1"/>
</file>

<file path=xl/ctrlProps/ctrlProp362.xml><?xml version="1.0" encoding="utf-8"?>
<formControlPr xmlns="http://schemas.microsoft.com/office/spreadsheetml/2009/9/main" objectType="Radio" lockText="1" noThreeD="1"/>
</file>

<file path=xl/ctrlProps/ctrlProp363.xml><?xml version="1.0" encoding="utf-8"?>
<formControlPr xmlns="http://schemas.microsoft.com/office/spreadsheetml/2009/9/main" objectType="Radio" lockText="1" noThreeD="1"/>
</file>

<file path=xl/ctrlProps/ctrlProp364.xml><?xml version="1.0" encoding="utf-8"?>
<formControlPr xmlns="http://schemas.microsoft.com/office/spreadsheetml/2009/9/main" objectType="GBox" noThreeD="1"/>
</file>

<file path=xl/ctrlProps/ctrlProp365.xml><?xml version="1.0" encoding="utf-8"?>
<formControlPr xmlns="http://schemas.microsoft.com/office/spreadsheetml/2009/9/main" objectType="Radio" firstButton="1" fmlaLink="$R$9" lockText="1" noThreeD="1"/>
</file>

<file path=xl/ctrlProps/ctrlProp366.xml><?xml version="1.0" encoding="utf-8"?>
<formControlPr xmlns="http://schemas.microsoft.com/office/spreadsheetml/2009/9/main" objectType="Radio" lockText="1" noThreeD="1"/>
</file>

<file path=xl/ctrlProps/ctrlProp367.xml><?xml version="1.0" encoding="utf-8"?>
<formControlPr xmlns="http://schemas.microsoft.com/office/spreadsheetml/2009/9/main" objectType="Radio" lockText="1" noThreeD="1"/>
</file>

<file path=xl/ctrlProps/ctrlProp368.xml><?xml version="1.0" encoding="utf-8"?>
<formControlPr xmlns="http://schemas.microsoft.com/office/spreadsheetml/2009/9/main" objectType="Radio" lockText="1" noThreeD="1"/>
</file>

<file path=xl/ctrlProps/ctrlProp369.xml><?xml version="1.0" encoding="utf-8"?>
<formControlPr xmlns="http://schemas.microsoft.com/office/spreadsheetml/2009/9/main" objectType="GBox" noThreeD="1"/>
</file>

<file path=xl/ctrlProps/ctrlProp370.xml><?xml version="1.0" encoding="utf-8"?>
<formControlPr xmlns="http://schemas.microsoft.com/office/spreadsheetml/2009/9/main" objectType="Radio" firstButton="1" fmlaLink="$R$10" lockText="1" noThreeD="1"/>
</file>

<file path=xl/ctrlProps/ctrlProp371.xml><?xml version="1.0" encoding="utf-8"?>
<formControlPr xmlns="http://schemas.microsoft.com/office/spreadsheetml/2009/9/main" objectType="Radio" lockText="1" noThreeD="1"/>
</file>

<file path=xl/ctrlProps/ctrlProp372.xml><?xml version="1.0" encoding="utf-8"?>
<formControlPr xmlns="http://schemas.microsoft.com/office/spreadsheetml/2009/9/main" objectType="Radio" lockText="1" noThreeD="1"/>
</file>

<file path=xl/ctrlProps/ctrlProp373.xml><?xml version="1.0" encoding="utf-8"?>
<formControlPr xmlns="http://schemas.microsoft.com/office/spreadsheetml/2009/9/main" objectType="Radio" lockText="1" noThreeD="1"/>
</file>

<file path=xl/ctrlProps/ctrlProp374.xml><?xml version="1.0" encoding="utf-8"?>
<formControlPr xmlns="http://schemas.microsoft.com/office/spreadsheetml/2009/9/main" objectType="GBox" noThreeD="1"/>
</file>

<file path=xl/ctrlProps/ctrlProp375.xml><?xml version="1.0" encoding="utf-8"?>
<formControlPr xmlns="http://schemas.microsoft.com/office/spreadsheetml/2009/9/main" objectType="Radio" firstButton="1" fmlaLink="$R$11" lockText="1" noThreeD="1"/>
</file>

<file path=xl/ctrlProps/ctrlProp376.xml><?xml version="1.0" encoding="utf-8"?>
<formControlPr xmlns="http://schemas.microsoft.com/office/spreadsheetml/2009/9/main" objectType="Radio" lockText="1" noThreeD="1"/>
</file>

<file path=xl/ctrlProps/ctrlProp377.xml><?xml version="1.0" encoding="utf-8"?>
<formControlPr xmlns="http://schemas.microsoft.com/office/spreadsheetml/2009/9/main" objectType="Radio" lockText="1" noThreeD="1"/>
</file>

<file path=xl/ctrlProps/ctrlProp378.xml><?xml version="1.0" encoding="utf-8"?>
<formControlPr xmlns="http://schemas.microsoft.com/office/spreadsheetml/2009/9/main" objectType="Radio" lockText="1" noThreeD="1"/>
</file>

<file path=xl/ctrlProps/ctrlProp379.xml><?xml version="1.0" encoding="utf-8"?>
<formControlPr xmlns="http://schemas.microsoft.com/office/spreadsheetml/2009/9/main" objectType="GBox" noThreeD="1"/>
</file>

<file path=xl/ctrlProps/ctrlProp380.xml><?xml version="1.0" encoding="utf-8"?>
<formControlPr xmlns="http://schemas.microsoft.com/office/spreadsheetml/2009/9/main" objectType="Radio" firstButton="1" fmlaLink="$R$12" lockText="1" noThreeD="1"/>
</file>

<file path=xl/ctrlProps/ctrlProp381.xml><?xml version="1.0" encoding="utf-8"?>
<formControlPr xmlns="http://schemas.microsoft.com/office/spreadsheetml/2009/9/main" objectType="Radio" lockText="1" noThreeD="1"/>
</file>

<file path=xl/ctrlProps/ctrlProp382.xml><?xml version="1.0" encoding="utf-8"?>
<formControlPr xmlns="http://schemas.microsoft.com/office/spreadsheetml/2009/9/main" objectType="Radio" lockText="1" noThreeD="1"/>
</file>

<file path=xl/ctrlProps/ctrlProp383.xml><?xml version="1.0" encoding="utf-8"?>
<formControlPr xmlns="http://schemas.microsoft.com/office/spreadsheetml/2009/9/main" objectType="Radio" lockText="1" noThreeD="1"/>
</file>

<file path=xl/ctrlProps/ctrlProp384.xml><?xml version="1.0" encoding="utf-8"?>
<formControlPr xmlns="http://schemas.microsoft.com/office/spreadsheetml/2009/9/main" objectType="GBox" noThreeD="1"/>
</file>

<file path=xl/ctrlProps/ctrlProp385.xml><?xml version="1.0" encoding="utf-8"?>
<formControlPr xmlns="http://schemas.microsoft.com/office/spreadsheetml/2009/9/main" objectType="Radio" firstButton="1" fmlaLink="$R$13" lockText="1" noThreeD="1"/>
</file>

<file path=xl/ctrlProps/ctrlProp386.xml><?xml version="1.0" encoding="utf-8"?>
<formControlPr xmlns="http://schemas.microsoft.com/office/spreadsheetml/2009/9/main" objectType="Radio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GBox" noThreeD="1"/>
</file>

<file path=xl/ctrlProps/ctrlProp390.xml><?xml version="1.0" encoding="utf-8"?>
<formControlPr xmlns="http://schemas.microsoft.com/office/spreadsheetml/2009/9/main" objectType="Radio" firstButton="1" fmlaLink="$P$15" lockText="1" noThreeD="1"/>
</file>

<file path=xl/ctrlProps/ctrlProp391.xml><?xml version="1.0" encoding="utf-8"?>
<formControlPr xmlns="http://schemas.microsoft.com/office/spreadsheetml/2009/9/main" objectType="Radio" lockText="1" noThreeD="1"/>
</file>

<file path=xl/ctrlProps/ctrlProp392.xml><?xml version="1.0" encoding="utf-8"?>
<formControlPr xmlns="http://schemas.microsoft.com/office/spreadsheetml/2009/9/main" objectType="Radio" lockText="1" noThreeD="1"/>
</file>

<file path=xl/ctrlProps/ctrlProp393.xml><?xml version="1.0" encoding="utf-8"?>
<formControlPr xmlns="http://schemas.microsoft.com/office/spreadsheetml/2009/9/main" objectType="GBox" noThreeD="1"/>
</file>

<file path=xl/ctrlProps/ctrlProp394.xml><?xml version="1.0" encoding="utf-8"?>
<formControlPr xmlns="http://schemas.microsoft.com/office/spreadsheetml/2009/9/main" objectType="Radio" firstButton="1" fmlaLink="$R$15" lockText="1" noThreeD="1"/>
</file>

<file path=xl/ctrlProps/ctrlProp395.xml><?xml version="1.0" encoding="utf-8"?>
<formControlPr xmlns="http://schemas.microsoft.com/office/spreadsheetml/2009/9/main" objectType="Radio" lockText="1" noThreeD="1"/>
</file>

<file path=xl/ctrlProps/ctrlProp396.xml><?xml version="1.0" encoding="utf-8"?>
<formControlPr xmlns="http://schemas.microsoft.com/office/spreadsheetml/2009/9/main" objectType="Radio" lockText="1" noThreeD="1"/>
</file>

<file path=xl/ctrlProps/ctrlProp397.xml><?xml version="1.0" encoding="utf-8"?>
<formControlPr xmlns="http://schemas.microsoft.com/office/spreadsheetml/2009/9/main" objectType="Radio" lockText="1" noThreeD="1"/>
</file>

<file path=xl/ctrlProps/ctrlProp398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#'1. Empresa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6. Protecci&#243;n Guantes'!A1"/><Relationship Id="rId3" Type="http://schemas.openxmlformats.org/officeDocument/2006/relationships/hyperlink" Target="#'4. Tarea'!A1"/><Relationship Id="rId7" Type="http://schemas.openxmlformats.org/officeDocument/2006/relationships/hyperlink" Target="#'6. Transferencia'!A1"/><Relationship Id="rId12" Type="http://schemas.openxmlformats.org/officeDocument/2006/relationships/hyperlink" Target="#Inicio!A1"/><Relationship Id="rId2" Type="http://schemas.openxmlformats.org/officeDocument/2006/relationships/hyperlink" Target="#'3. Puesto'!A1"/><Relationship Id="rId1" Type="http://schemas.openxmlformats.org/officeDocument/2006/relationships/hyperlink" Target="#'1. Empresa'!A1"/><Relationship Id="rId6" Type="http://schemas.openxmlformats.org/officeDocument/2006/relationships/hyperlink" Target="#'6. Deposici&#243;n'!A1"/><Relationship Id="rId11" Type="http://schemas.openxmlformats.org/officeDocument/2006/relationships/hyperlink" Target="#Data!A1"/><Relationship Id="rId5" Type="http://schemas.openxmlformats.org/officeDocument/2006/relationships/hyperlink" Target="#'6. Emisi&#243;n'!A1"/><Relationship Id="rId10" Type="http://schemas.openxmlformats.org/officeDocument/2006/relationships/hyperlink" Target="#'2. Departamento'!A1"/><Relationship Id="rId4" Type="http://schemas.openxmlformats.org/officeDocument/2006/relationships/hyperlink" Target="#'5. Agente'!A1"/><Relationship Id="rId9" Type="http://schemas.openxmlformats.org/officeDocument/2006/relationships/hyperlink" Target="#'6. Protecci&#243;n Ropa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6. Protecci&#243;n Guantes'!A1"/><Relationship Id="rId3" Type="http://schemas.openxmlformats.org/officeDocument/2006/relationships/hyperlink" Target="#'4. Tarea'!A1"/><Relationship Id="rId7" Type="http://schemas.openxmlformats.org/officeDocument/2006/relationships/hyperlink" Target="#'6. Transferencia'!A1"/><Relationship Id="rId2" Type="http://schemas.openxmlformats.org/officeDocument/2006/relationships/hyperlink" Target="#'3. Puesto'!A1"/><Relationship Id="rId1" Type="http://schemas.openxmlformats.org/officeDocument/2006/relationships/hyperlink" Target="#'1. Empresa'!A1"/><Relationship Id="rId6" Type="http://schemas.openxmlformats.org/officeDocument/2006/relationships/hyperlink" Target="#'6. Deposici&#243;n'!A1"/><Relationship Id="rId11" Type="http://schemas.openxmlformats.org/officeDocument/2006/relationships/hyperlink" Target="#Data!A1"/><Relationship Id="rId5" Type="http://schemas.openxmlformats.org/officeDocument/2006/relationships/hyperlink" Target="#'6. Emisi&#243;n'!A1"/><Relationship Id="rId10" Type="http://schemas.openxmlformats.org/officeDocument/2006/relationships/hyperlink" Target="#'2. Departamento'!A1"/><Relationship Id="rId4" Type="http://schemas.openxmlformats.org/officeDocument/2006/relationships/hyperlink" Target="#'5. Agente'!A1"/><Relationship Id="rId9" Type="http://schemas.openxmlformats.org/officeDocument/2006/relationships/hyperlink" Target="#'6. Protecci&#243;n Ropa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6. Transferencia'!A1"/><Relationship Id="rId3" Type="http://schemas.openxmlformats.org/officeDocument/2006/relationships/hyperlink" Target="#'1. Empresa'!A1"/><Relationship Id="rId7" Type="http://schemas.openxmlformats.org/officeDocument/2006/relationships/hyperlink" Target="#'6. Deposici&#243;n'!A1"/><Relationship Id="rId2" Type="http://schemas.openxmlformats.org/officeDocument/2006/relationships/hyperlink" Target="#'2. Departamento'!A1"/><Relationship Id="rId1" Type="http://schemas.openxmlformats.org/officeDocument/2006/relationships/hyperlink" Target="#'4. Tarea'!A1"/><Relationship Id="rId6" Type="http://schemas.openxmlformats.org/officeDocument/2006/relationships/hyperlink" Target="#'6. Emisi&#243;n'!A1"/><Relationship Id="rId11" Type="http://schemas.openxmlformats.org/officeDocument/2006/relationships/hyperlink" Target="#Data!A1"/><Relationship Id="rId5" Type="http://schemas.openxmlformats.org/officeDocument/2006/relationships/hyperlink" Target="#'5. Agente'!A1"/><Relationship Id="rId10" Type="http://schemas.openxmlformats.org/officeDocument/2006/relationships/hyperlink" Target="#'6. Protecci&#243;n Ropa'!A1"/><Relationship Id="rId4" Type="http://schemas.openxmlformats.org/officeDocument/2006/relationships/hyperlink" Target="#'3. Puesto'!A1"/><Relationship Id="rId9" Type="http://schemas.openxmlformats.org/officeDocument/2006/relationships/hyperlink" Target="#'6. Protecci&#243;n Guantes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6. Protecci&#243;n Guantes'!A1"/><Relationship Id="rId3" Type="http://schemas.openxmlformats.org/officeDocument/2006/relationships/hyperlink" Target="#'1. Empresa'!A1"/><Relationship Id="rId7" Type="http://schemas.openxmlformats.org/officeDocument/2006/relationships/hyperlink" Target="#'6. Transferencia'!A1"/><Relationship Id="rId2" Type="http://schemas.openxmlformats.org/officeDocument/2006/relationships/hyperlink" Target="#'3. Puesto'!A1"/><Relationship Id="rId1" Type="http://schemas.openxmlformats.org/officeDocument/2006/relationships/hyperlink" Target="#'5. Agente'!A1"/><Relationship Id="rId6" Type="http://schemas.openxmlformats.org/officeDocument/2006/relationships/hyperlink" Target="#'6. Deposici&#243;n'!A1"/><Relationship Id="rId11" Type="http://schemas.openxmlformats.org/officeDocument/2006/relationships/hyperlink" Target="#Data!A1"/><Relationship Id="rId5" Type="http://schemas.openxmlformats.org/officeDocument/2006/relationships/hyperlink" Target="#'6. Emisi&#243;n'!A1"/><Relationship Id="rId10" Type="http://schemas.openxmlformats.org/officeDocument/2006/relationships/hyperlink" Target="#'2. Departamento'!A1"/><Relationship Id="rId4" Type="http://schemas.openxmlformats.org/officeDocument/2006/relationships/hyperlink" Target="#'4. Tarea'!A1"/><Relationship Id="rId9" Type="http://schemas.openxmlformats.org/officeDocument/2006/relationships/hyperlink" Target="#'6. Protecci&#243;n Ropa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6. Protecci&#243;n Guantes'!A1"/><Relationship Id="rId3" Type="http://schemas.openxmlformats.org/officeDocument/2006/relationships/hyperlink" Target="#'3. Puesto'!A1"/><Relationship Id="rId7" Type="http://schemas.openxmlformats.org/officeDocument/2006/relationships/hyperlink" Target="#'6. Transferencia'!A1"/><Relationship Id="rId2" Type="http://schemas.openxmlformats.org/officeDocument/2006/relationships/hyperlink" Target="#'1. Empresa'!A1"/><Relationship Id="rId1" Type="http://schemas.openxmlformats.org/officeDocument/2006/relationships/hyperlink" Target="#'4. Tarea'!A1"/><Relationship Id="rId6" Type="http://schemas.openxmlformats.org/officeDocument/2006/relationships/hyperlink" Target="#'6. Deposici&#243;n'!A1"/><Relationship Id="rId11" Type="http://schemas.openxmlformats.org/officeDocument/2006/relationships/hyperlink" Target="#Data!A1"/><Relationship Id="rId5" Type="http://schemas.openxmlformats.org/officeDocument/2006/relationships/hyperlink" Target="#'6. Emisi&#243;n'!A1"/><Relationship Id="rId10" Type="http://schemas.openxmlformats.org/officeDocument/2006/relationships/hyperlink" Target="#'2. Departamento'!A1"/><Relationship Id="rId4" Type="http://schemas.openxmlformats.org/officeDocument/2006/relationships/hyperlink" Target="#'5. Agente'!A1"/><Relationship Id="rId9" Type="http://schemas.openxmlformats.org/officeDocument/2006/relationships/hyperlink" Target="#'6. Protecci&#243;n Ropa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6. Protecci&#243;n Guantes'!A1"/><Relationship Id="rId3" Type="http://schemas.openxmlformats.org/officeDocument/2006/relationships/hyperlink" Target="#'6. Emisi&#243;n'!A1"/><Relationship Id="rId7" Type="http://schemas.openxmlformats.org/officeDocument/2006/relationships/hyperlink" Target="#'6. Transferencia'!A1"/><Relationship Id="rId2" Type="http://schemas.openxmlformats.org/officeDocument/2006/relationships/hyperlink" Target="#'5. Agente'!A1"/><Relationship Id="rId1" Type="http://schemas.openxmlformats.org/officeDocument/2006/relationships/hyperlink" Target="#'6. Deposici&#243;n'!A1"/><Relationship Id="rId6" Type="http://schemas.openxmlformats.org/officeDocument/2006/relationships/hyperlink" Target="#'4. Tarea'!A1"/><Relationship Id="rId11" Type="http://schemas.openxmlformats.org/officeDocument/2006/relationships/hyperlink" Target="#Data!A1"/><Relationship Id="rId5" Type="http://schemas.openxmlformats.org/officeDocument/2006/relationships/hyperlink" Target="#'3. Puesto'!A1"/><Relationship Id="rId10" Type="http://schemas.openxmlformats.org/officeDocument/2006/relationships/hyperlink" Target="#'2. Departamento'!A1"/><Relationship Id="rId4" Type="http://schemas.openxmlformats.org/officeDocument/2006/relationships/hyperlink" Target="#'1. Empresa'!A1"/><Relationship Id="rId9" Type="http://schemas.openxmlformats.org/officeDocument/2006/relationships/hyperlink" Target="#'6. Protecci&#243;n Ropa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6. Protecci&#243;n Guantes'!A1"/><Relationship Id="rId3" Type="http://schemas.openxmlformats.org/officeDocument/2006/relationships/hyperlink" Target="#'1. Empresa'!A1"/><Relationship Id="rId7" Type="http://schemas.openxmlformats.org/officeDocument/2006/relationships/hyperlink" Target="#'6. Deposici&#243;n'!A1"/><Relationship Id="rId2" Type="http://schemas.openxmlformats.org/officeDocument/2006/relationships/hyperlink" Target="#'6. Emisi&#243;n'!A1"/><Relationship Id="rId1" Type="http://schemas.openxmlformats.org/officeDocument/2006/relationships/hyperlink" Target="#'6. Transferencia'!A1"/><Relationship Id="rId6" Type="http://schemas.openxmlformats.org/officeDocument/2006/relationships/hyperlink" Target="#'5. Agente'!A1"/><Relationship Id="rId11" Type="http://schemas.openxmlformats.org/officeDocument/2006/relationships/hyperlink" Target="#Data!A1"/><Relationship Id="rId5" Type="http://schemas.openxmlformats.org/officeDocument/2006/relationships/hyperlink" Target="#'4. Tarea'!A1"/><Relationship Id="rId10" Type="http://schemas.openxmlformats.org/officeDocument/2006/relationships/hyperlink" Target="#'2. Departamento'!A1"/><Relationship Id="rId4" Type="http://schemas.openxmlformats.org/officeDocument/2006/relationships/hyperlink" Target="#'3. Puesto'!A1"/><Relationship Id="rId9" Type="http://schemas.openxmlformats.org/officeDocument/2006/relationships/hyperlink" Target="#'6. Protecci&#243;n Ropa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6. Transferencia'!A1"/><Relationship Id="rId3" Type="http://schemas.openxmlformats.org/officeDocument/2006/relationships/hyperlink" Target="#'6. Emisi&#243;n'!A1"/><Relationship Id="rId7" Type="http://schemas.openxmlformats.org/officeDocument/2006/relationships/hyperlink" Target="#'5. Agente'!A1"/><Relationship Id="rId2" Type="http://schemas.openxmlformats.org/officeDocument/2006/relationships/hyperlink" Target="#'6. Deposici&#243;n'!A1"/><Relationship Id="rId1" Type="http://schemas.openxmlformats.org/officeDocument/2006/relationships/hyperlink" Target="#'6. Protecci&#243;n Guantes'!A1"/><Relationship Id="rId6" Type="http://schemas.openxmlformats.org/officeDocument/2006/relationships/hyperlink" Target="#'4. Tarea'!A1"/><Relationship Id="rId11" Type="http://schemas.openxmlformats.org/officeDocument/2006/relationships/hyperlink" Target="#Data!A1"/><Relationship Id="rId5" Type="http://schemas.openxmlformats.org/officeDocument/2006/relationships/hyperlink" Target="#'3. Puesto'!A1"/><Relationship Id="rId10" Type="http://schemas.openxmlformats.org/officeDocument/2006/relationships/hyperlink" Target="#'2. Departamento'!A1"/><Relationship Id="rId4" Type="http://schemas.openxmlformats.org/officeDocument/2006/relationships/hyperlink" Target="#'1. Empresa'!A1"/><Relationship Id="rId9" Type="http://schemas.openxmlformats.org/officeDocument/2006/relationships/hyperlink" Target="#'6. Protecci&#243;n Ropa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6. Deposici&#243;n'!A1"/><Relationship Id="rId3" Type="http://schemas.openxmlformats.org/officeDocument/2006/relationships/hyperlink" Target="#'6. Emisi&#243;n'!A1"/><Relationship Id="rId7" Type="http://schemas.openxmlformats.org/officeDocument/2006/relationships/hyperlink" Target="#'5. Agente'!A1"/><Relationship Id="rId2" Type="http://schemas.openxmlformats.org/officeDocument/2006/relationships/hyperlink" Target="#'6. Transferencia'!A1"/><Relationship Id="rId1" Type="http://schemas.openxmlformats.org/officeDocument/2006/relationships/hyperlink" Target="#'6. Protecci&#243;n Ropa'!A1"/><Relationship Id="rId6" Type="http://schemas.openxmlformats.org/officeDocument/2006/relationships/hyperlink" Target="#'4. Tarea'!A1"/><Relationship Id="rId11" Type="http://schemas.openxmlformats.org/officeDocument/2006/relationships/hyperlink" Target="#Data!A1"/><Relationship Id="rId5" Type="http://schemas.openxmlformats.org/officeDocument/2006/relationships/hyperlink" Target="#'3. Puesto'!A1"/><Relationship Id="rId10" Type="http://schemas.openxmlformats.org/officeDocument/2006/relationships/hyperlink" Target="#'2. Departamento'!A1"/><Relationship Id="rId4" Type="http://schemas.openxmlformats.org/officeDocument/2006/relationships/hyperlink" Target="#'1. Empresa'!A1"/><Relationship Id="rId9" Type="http://schemas.openxmlformats.org/officeDocument/2006/relationships/hyperlink" Target="#'6. Protecci&#243;n Guante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6. Deposici&#243;n'!A1"/><Relationship Id="rId3" Type="http://schemas.openxmlformats.org/officeDocument/2006/relationships/hyperlink" Target="#'6. Emisi&#243;n'!A1"/><Relationship Id="rId7" Type="http://schemas.openxmlformats.org/officeDocument/2006/relationships/hyperlink" Target="#'5. Agente'!A1"/><Relationship Id="rId2" Type="http://schemas.openxmlformats.org/officeDocument/2006/relationships/hyperlink" Target="#'6. Protecci&#243;n Guantes'!A1"/><Relationship Id="rId1" Type="http://schemas.openxmlformats.org/officeDocument/2006/relationships/hyperlink" Target="#Data!A1"/><Relationship Id="rId6" Type="http://schemas.openxmlformats.org/officeDocument/2006/relationships/hyperlink" Target="#'4. Tarea'!A1"/><Relationship Id="rId11" Type="http://schemas.openxmlformats.org/officeDocument/2006/relationships/hyperlink" Target="#'2. Departamento'!A1"/><Relationship Id="rId5" Type="http://schemas.openxmlformats.org/officeDocument/2006/relationships/hyperlink" Target="#'3. Puesto'!A1"/><Relationship Id="rId10" Type="http://schemas.openxmlformats.org/officeDocument/2006/relationships/hyperlink" Target="#'6. Protecci&#243;n Ropa'!A1"/><Relationship Id="rId4" Type="http://schemas.openxmlformats.org/officeDocument/2006/relationships/hyperlink" Target="#'1. Empresa'!A1"/><Relationship Id="rId9" Type="http://schemas.openxmlformats.org/officeDocument/2006/relationships/hyperlink" Target="#'6. Transferencia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Data_Empresa"/><Relationship Id="rId1" Type="http://schemas.openxmlformats.org/officeDocument/2006/relationships/hyperlink" Target="#Data_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417195</xdr:colOff>
      <xdr:row>17</xdr:row>
      <xdr:rowOff>123825</xdr:rowOff>
    </xdr:from>
    <xdr:to>
      <xdr:col>4</xdr:col>
      <xdr:colOff>348615</xdr:colOff>
      <xdr:row>19</xdr:row>
      <xdr:rowOff>169545</xdr:rowOff>
    </xdr:to>
    <xdr:sp macro="" textlink="">
      <xdr:nvSpPr>
        <xdr:cNvPr id="4" name="Rectá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31770" y="3362325"/>
          <a:ext cx="702945" cy="236220"/>
        </a:xfrm>
        <a:prstGeom prst="rect">
          <a:avLst/>
        </a:prstGeom>
        <a:solidFill>
          <a:schemeClr val="accent3">
            <a:lumMod val="75000"/>
          </a:schemeClr>
        </a:solidFill>
        <a:ln w="63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effectLst/>
            </a:rPr>
            <a:t>Iniciar</a:t>
          </a:r>
        </a:p>
      </xdr:txBody>
    </xdr:sp>
    <xdr:clientData/>
  </xdr:twoCellAnchor>
  <xdr:twoCellAnchor editAs="oneCell">
    <xdr:from>
      <xdr:col>7</xdr:col>
      <xdr:colOff>5442556</xdr:colOff>
      <xdr:row>15</xdr:row>
      <xdr:rowOff>135210</xdr:rowOff>
    </xdr:from>
    <xdr:to>
      <xdr:col>8</xdr:col>
      <xdr:colOff>4082</xdr:colOff>
      <xdr:row>1048576</xdr:row>
      <xdr:rowOff>66113</xdr:rowOff>
    </xdr:to>
    <xdr:pic>
      <xdr:nvPicPr>
        <xdr:cNvPr id="23" name="Picture 14" descr="Universidad Nacional de Costa Rica - Wikipedia, la enciclopedia libre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14756" y="2992710"/>
          <a:ext cx="1086151" cy="8834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690309</xdr:colOff>
      <xdr:row>1</xdr:row>
      <xdr:rowOff>0</xdr:rowOff>
    </xdr:from>
    <xdr:to>
      <xdr:col>7</xdr:col>
      <xdr:colOff>182066</xdr:colOff>
      <xdr:row>16</xdr:row>
      <xdr:rowOff>160020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0309" y="182880"/>
          <a:ext cx="5039117" cy="29032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98213</xdr:colOff>
      <xdr:row>5</xdr:row>
      <xdr:rowOff>4234</xdr:rowOff>
    </xdr:from>
    <xdr:to>
      <xdr:col>4</xdr:col>
      <xdr:colOff>494453</xdr:colOff>
      <xdr:row>5</xdr:row>
      <xdr:rowOff>232834</xdr:rowOff>
    </xdr:to>
    <xdr:sp macro="[0]!InsertDate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327438" y="956734"/>
          <a:ext cx="986790" cy="22860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</a:rPr>
            <a:t>Insertar</a:t>
          </a:r>
          <a:r>
            <a:rPr lang="en-US" sz="900">
              <a:solidFill>
                <a:schemeClr val="bg1"/>
              </a:solidFill>
            </a:rPr>
            <a:t> fecha</a:t>
          </a:r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1013459</xdr:colOff>
      <xdr:row>15</xdr:row>
      <xdr:rowOff>27553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0" y="381000"/>
          <a:ext cx="1013459" cy="2961253"/>
          <a:chOff x="0" y="365760"/>
          <a:chExt cx="1013459" cy="2953633"/>
        </a:xfrm>
      </xdr:grpSpPr>
      <xdr:sp macro="" textlink="">
        <xdr:nvSpPr>
          <xdr:cNvPr id="31" name="Redondear rectángulo de esquina del mismo lado 30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 rot="5400000">
            <a:off x="378655" y="-12895"/>
            <a:ext cx="256150" cy="1013459"/>
          </a:xfrm>
          <a:prstGeom prst="round2SameRect">
            <a:avLst/>
          </a:prstGeom>
          <a:solidFill>
            <a:schemeClr val="accent3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chemeClr val="bg1"/>
                </a:solidFill>
              </a:rPr>
              <a:t>1.</a:t>
            </a:r>
            <a:r>
              <a:rPr lang="en-US" sz="1000" baseline="0">
                <a:solidFill>
                  <a:schemeClr val="bg1"/>
                </a:solidFill>
              </a:rPr>
              <a:t> Empresa</a:t>
            </a:r>
            <a:endParaRPr lang="en-US" sz="1000">
              <a:solidFill>
                <a:schemeClr val="bg1"/>
              </a:solidFill>
            </a:endParaRPr>
          </a:p>
        </xdr:txBody>
      </xdr:sp>
      <xdr:sp macro="" textlink="">
        <xdr:nvSpPr>
          <xdr:cNvPr id="32" name="Redondear rectángulo de esquina del mismo lado 3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/>
        </xdr:nvSpPr>
        <xdr:spPr>
          <a:xfrm rot="5400000">
            <a:off x="378654" y="474787"/>
            <a:ext cx="256152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3.</a:t>
            </a:r>
            <a:r>
              <a:rPr lang="en-US" sz="1000" baseline="0">
                <a:solidFill>
                  <a:sysClr val="windowText" lastClr="000000"/>
                </a:solidFill>
              </a:rPr>
              <a:t> Puesto</a:t>
            </a:r>
            <a:endParaRPr 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3" name="Redondear rectángulo de esquina del mismo lado 32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 rot="5400000">
            <a:off x="378655" y="718625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4.</a:t>
            </a:r>
            <a:r>
              <a:rPr lang="en-US" sz="1000" baseline="0">
                <a:solidFill>
                  <a:sysClr val="windowText" lastClr="000000"/>
                </a:solidFill>
              </a:rPr>
              <a:t> Tarea</a:t>
            </a:r>
            <a:endParaRPr 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4" name="Redondear rectángulo de esquina del mismo lado 33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 rot="5400000">
            <a:off x="378655" y="962467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5. Agente</a:t>
            </a:r>
          </a:p>
        </xdr:txBody>
      </xdr:sp>
      <xdr:sp macro="" textlink="">
        <xdr:nvSpPr>
          <xdr:cNvPr id="35" name="Redondear rectángulo de esquina del mismo lado 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/>
        </xdr:nvSpPr>
        <xdr:spPr>
          <a:xfrm rot="5400000">
            <a:off x="378655" y="1206305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6. Exposición</a:t>
            </a:r>
          </a:p>
        </xdr:txBody>
      </xdr:sp>
      <xdr:sp macro="" textlink="">
        <xdr:nvSpPr>
          <xdr:cNvPr id="36" name="Redondear rectángulo de esquina del mismo lado 3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/>
        </xdr:nvSpPr>
        <xdr:spPr>
          <a:xfrm rot="5400000">
            <a:off x="378655" y="1450147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Emisión</a:t>
            </a:r>
          </a:p>
        </xdr:txBody>
      </xdr:sp>
      <xdr:sp macro="" textlink="">
        <xdr:nvSpPr>
          <xdr:cNvPr id="37" name="Redondear rectángulo de esquina del mismo lado 3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 rot="5400000">
            <a:off x="378655" y="1693985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Deposición</a:t>
            </a:r>
          </a:p>
        </xdr:txBody>
      </xdr:sp>
      <xdr:sp macro="" textlink="">
        <xdr:nvSpPr>
          <xdr:cNvPr id="38" name="Redondear rectángulo de esquina del mismo lado 37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/>
        </xdr:nvSpPr>
        <xdr:spPr>
          <a:xfrm rot="5400000">
            <a:off x="378655" y="1937827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Transferencia</a:t>
            </a:r>
          </a:p>
        </xdr:txBody>
      </xdr:sp>
      <xdr:sp macro="" textlink="">
        <xdr:nvSpPr>
          <xdr:cNvPr id="39" name="Redondear rectángulo de esquina del mismo lado 3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/>
        </xdr:nvSpPr>
        <xdr:spPr>
          <a:xfrm rot="5400000">
            <a:off x="378655" y="2181669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Guantes</a:t>
            </a:r>
          </a:p>
        </xdr:txBody>
      </xdr:sp>
      <xdr:sp macro="" textlink="">
        <xdr:nvSpPr>
          <xdr:cNvPr id="40" name="Redondear rectángulo de esquina del mismo lado 3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SpPr/>
        </xdr:nvSpPr>
        <xdr:spPr>
          <a:xfrm rot="5400000">
            <a:off x="378655" y="2425507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Ropa</a:t>
            </a:r>
          </a:p>
        </xdr:txBody>
      </xdr:sp>
      <xdr:sp macro="" textlink="">
        <xdr:nvSpPr>
          <xdr:cNvPr id="41" name="Redondear rectángulo de esquina del mismo lado 4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/>
        </xdr:nvSpPr>
        <xdr:spPr>
          <a:xfrm rot="5400000">
            <a:off x="378655" y="230947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2.</a:t>
            </a:r>
            <a:r>
              <a:rPr lang="en-US" sz="1000" baseline="0">
                <a:solidFill>
                  <a:sysClr val="windowText" lastClr="000000"/>
                </a:solidFill>
              </a:rPr>
              <a:t> Departamento</a:t>
            </a:r>
            <a:endParaRPr 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2" name="Redondear rectángulo de esquina del mismo lado 4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 rot="5400000">
            <a:off x="378655" y="2684588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Resultados</a:t>
            </a:r>
          </a:p>
        </xdr:txBody>
      </xdr:sp>
    </xdr:grpSp>
    <xdr:clientData/>
  </xdr:twoCellAnchor>
  <xdr:twoCellAnchor>
    <xdr:from>
      <xdr:col>3</xdr:col>
      <xdr:colOff>514350</xdr:colOff>
      <xdr:row>15</xdr:row>
      <xdr:rowOff>66675</xdr:rowOff>
    </xdr:from>
    <xdr:to>
      <xdr:col>4</xdr:col>
      <xdr:colOff>363776</xdr:colOff>
      <xdr:row>16</xdr:row>
      <xdr:rowOff>56007</xdr:rowOff>
    </xdr:to>
    <xdr:sp macro="" textlink="">
      <xdr:nvSpPr>
        <xdr:cNvPr id="3" name="Flecha: a la derecha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743575" y="3381375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1371600</xdr:colOff>
      <xdr:row>15</xdr:row>
      <xdr:rowOff>66675</xdr:rowOff>
    </xdr:from>
    <xdr:to>
      <xdr:col>1</xdr:col>
      <xdr:colOff>430451</xdr:colOff>
      <xdr:row>16</xdr:row>
      <xdr:rowOff>56007</xdr:rowOff>
    </xdr:to>
    <xdr:sp macro="" textlink="">
      <xdr:nvSpPr>
        <xdr:cNvPr id="17" name="Flecha: a la derecha 1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 flipH="1">
          <a:off x="1371600" y="3381375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1405890</xdr:colOff>
      <xdr:row>7</xdr:row>
      <xdr:rowOff>167640</xdr:rowOff>
    </xdr:from>
    <xdr:to>
      <xdr:col>1</xdr:col>
      <xdr:colOff>969645</xdr:colOff>
      <xdr:row>8</xdr:row>
      <xdr:rowOff>146684</xdr:rowOff>
    </xdr:to>
    <xdr:sp macro="[0]!CleanEmp.CleanEmp" textlink="">
      <xdr:nvSpPr>
        <xdr:cNvPr id="19" name="Rectángul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405890" y="1577340"/>
          <a:ext cx="981075" cy="260984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/>
            <a:t>Limpiar</a:t>
          </a:r>
          <a:r>
            <a:rPr lang="es-ES" sz="1000" baseline="0"/>
            <a:t> datos</a:t>
          </a:r>
          <a:endParaRPr lang="es-ES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4</xdr:row>
          <xdr:rowOff>247650</xdr:rowOff>
        </xdr:from>
        <xdr:to>
          <xdr:col>3</xdr:col>
          <xdr:colOff>1695450</xdr:colOff>
          <xdr:row>5</xdr:row>
          <xdr:rowOff>38100</xdr:rowOff>
        </xdr:to>
        <xdr:sp macro="" textlink="">
          <xdr:nvSpPr>
            <xdr:cNvPr id="28674" name="B_1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2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Limpieza mojada diaria (0,1)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5</xdr:row>
          <xdr:rowOff>19050</xdr:rowOff>
        </xdr:from>
        <xdr:to>
          <xdr:col>3</xdr:col>
          <xdr:colOff>1695450</xdr:colOff>
          <xdr:row>5</xdr:row>
          <xdr:rowOff>238125</xdr:rowOff>
        </xdr:to>
        <xdr:sp macro="" textlink="">
          <xdr:nvSpPr>
            <xdr:cNvPr id="28675" name="B_2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2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Limpieza mojada semanal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5</xdr:row>
          <xdr:rowOff>219075</xdr:rowOff>
        </xdr:from>
        <xdr:to>
          <xdr:col>3</xdr:col>
          <xdr:colOff>1695450</xdr:colOff>
          <xdr:row>6</xdr:row>
          <xdr:rowOff>171450</xdr:rowOff>
        </xdr:to>
        <xdr:sp macro="" textlink="">
          <xdr:nvSpPr>
            <xdr:cNvPr id="28676" name="B_3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2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Limpieza seca / NA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</xdr:row>
          <xdr:rowOff>133350</xdr:rowOff>
        </xdr:from>
        <xdr:to>
          <xdr:col>3</xdr:col>
          <xdr:colOff>2076450</xdr:colOff>
          <xdr:row>6</xdr:row>
          <xdr:rowOff>209550</xdr:rowOff>
        </xdr:to>
        <xdr:sp macro="" textlink="">
          <xdr:nvSpPr>
            <xdr:cNvPr id="28677" name="Group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2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EH_FL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8</xdr:row>
          <xdr:rowOff>0</xdr:rowOff>
        </xdr:from>
        <xdr:to>
          <xdr:col>3</xdr:col>
          <xdr:colOff>1695450</xdr:colOff>
          <xdr:row>8</xdr:row>
          <xdr:rowOff>219075</xdr:rowOff>
        </xdr:to>
        <xdr:sp macro="" textlink="">
          <xdr:nvSpPr>
            <xdr:cNvPr id="28679" name="B_4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2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Limpieza mojada diaria (0,1)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8</xdr:row>
          <xdr:rowOff>209550</xdr:rowOff>
        </xdr:from>
        <xdr:to>
          <xdr:col>3</xdr:col>
          <xdr:colOff>1695450</xdr:colOff>
          <xdr:row>9</xdr:row>
          <xdr:rowOff>38100</xdr:rowOff>
        </xdr:to>
        <xdr:sp macro="" textlink="">
          <xdr:nvSpPr>
            <xdr:cNvPr id="28680" name="B_5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2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Limpieza mojada semanal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9</xdr:row>
          <xdr:rowOff>19050</xdr:rowOff>
        </xdr:from>
        <xdr:to>
          <xdr:col>3</xdr:col>
          <xdr:colOff>1695450</xdr:colOff>
          <xdr:row>9</xdr:row>
          <xdr:rowOff>257175</xdr:rowOff>
        </xdr:to>
        <xdr:sp macro="" textlink="">
          <xdr:nvSpPr>
            <xdr:cNvPr id="28681" name="B_6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2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Limpieza seca / NA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104775</xdr:rowOff>
        </xdr:from>
        <xdr:to>
          <xdr:col>3</xdr:col>
          <xdr:colOff>2076450</xdr:colOff>
          <xdr:row>9</xdr:row>
          <xdr:rowOff>285750</xdr:rowOff>
        </xdr:to>
        <xdr:sp macro="" textlink="">
          <xdr:nvSpPr>
            <xdr:cNvPr id="28682" name="Group Box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2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EH_WT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10</xdr:row>
          <xdr:rowOff>228600</xdr:rowOff>
        </xdr:from>
        <xdr:to>
          <xdr:col>3</xdr:col>
          <xdr:colOff>1695450</xdr:colOff>
          <xdr:row>11</xdr:row>
          <xdr:rowOff>142875</xdr:rowOff>
        </xdr:to>
        <xdr:sp macro="" textlink="">
          <xdr:nvSpPr>
            <xdr:cNvPr id="28684" name="B_7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2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Limpieza mojada diaria (0,1)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11</xdr:row>
          <xdr:rowOff>133350</xdr:rowOff>
        </xdr:from>
        <xdr:to>
          <xdr:col>3</xdr:col>
          <xdr:colOff>1695450</xdr:colOff>
          <xdr:row>12</xdr:row>
          <xdr:rowOff>76200</xdr:rowOff>
        </xdr:to>
        <xdr:sp macro="" textlink="">
          <xdr:nvSpPr>
            <xdr:cNvPr id="28685" name="B_8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2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Limpieza mojada semanal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12</xdr:row>
          <xdr:rowOff>57150</xdr:rowOff>
        </xdr:from>
        <xdr:to>
          <xdr:col>3</xdr:col>
          <xdr:colOff>1695450</xdr:colOff>
          <xdr:row>12</xdr:row>
          <xdr:rowOff>295275</xdr:rowOff>
        </xdr:to>
        <xdr:sp macro="" textlink="">
          <xdr:nvSpPr>
            <xdr:cNvPr id="28686" name="B_9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2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Limpieza seca / NA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104775</xdr:rowOff>
        </xdr:from>
        <xdr:to>
          <xdr:col>3</xdr:col>
          <xdr:colOff>2076450</xdr:colOff>
          <xdr:row>12</xdr:row>
          <xdr:rowOff>323850</xdr:rowOff>
        </xdr:to>
        <xdr:sp macro="" textlink="">
          <xdr:nvSpPr>
            <xdr:cNvPr id="28687" name="Group Box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2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EH_MC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13</xdr:row>
          <xdr:rowOff>209550</xdr:rowOff>
        </xdr:from>
        <xdr:to>
          <xdr:col>3</xdr:col>
          <xdr:colOff>1695450</xdr:colOff>
          <xdr:row>14</xdr:row>
          <xdr:rowOff>133350</xdr:rowOff>
        </xdr:to>
        <xdr:sp macro="" textlink="">
          <xdr:nvSpPr>
            <xdr:cNvPr id="28688" name="B_10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2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Limpieza mojada diaria (0,1)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14</xdr:row>
          <xdr:rowOff>123825</xdr:rowOff>
        </xdr:from>
        <xdr:to>
          <xdr:col>3</xdr:col>
          <xdr:colOff>1695450</xdr:colOff>
          <xdr:row>15</xdr:row>
          <xdr:rowOff>66675</xdr:rowOff>
        </xdr:to>
        <xdr:sp macro="" textlink="">
          <xdr:nvSpPr>
            <xdr:cNvPr id="28689" name="B_11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2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Limpieza mojada semanal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15</xdr:row>
          <xdr:rowOff>57150</xdr:rowOff>
        </xdr:from>
        <xdr:to>
          <xdr:col>3</xdr:col>
          <xdr:colOff>1695450</xdr:colOff>
          <xdr:row>15</xdr:row>
          <xdr:rowOff>285750</xdr:rowOff>
        </xdr:to>
        <xdr:sp macro="" textlink="">
          <xdr:nvSpPr>
            <xdr:cNvPr id="28690" name="B_12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2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Limpieza seca / NA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13</xdr:row>
          <xdr:rowOff>95250</xdr:rowOff>
        </xdr:from>
        <xdr:to>
          <xdr:col>3</xdr:col>
          <xdr:colOff>2076450</xdr:colOff>
          <xdr:row>15</xdr:row>
          <xdr:rowOff>323850</xdr:rowOff>
        </xdr:to>
        <xdr:sp macro="" textlink="">
          <xdr:nvSpPr>
            <xdr:cNvPr id="28691" name="Group Box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2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EH_TO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2</xdr:row>
      <xdr:rowOff>0</xdr:rowOff>
    </xdr:from>
    <xdr:to>
      <xdr:col>0</xdr:col>
      <xdr:colOff>1013459</xdr:colOff>
      <xdr:row>3</xdr:row>
      <xdr:rowOff>65650</xdr:rowOff>
    </xdr:to>
    <xdr:sp macro="" textlink="">
      <xdr:nvSpPr>
        <xdr:cNvPr id="58" name="Redondear rectángulo de esquina del mismo lado 5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 rot="5400000">
          <a:off x="378655" y="-527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1.</a:t>
          </a:r>
          <a:r>
            <a:rPr lang="en-US" sz="1000" baseline="0">
              <a:solidFill>
                <a:sysClr val="windowText" lastClr="000000"/>
              </a:solidFill>
            </a:rPr>
            <a:t> Empresa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4</xdr:row>
      <xdr:rowOff>106681</xdr:rowOff>
    </xdr:from>
    <xdr:to>
      <xdr:col>0</xdr:col>
      <xdr:colOff>1013459</xdr:colOff>
      <xdr:row>4</xdr:row>
      <xdr:rowOff>362833</xdr:rowOff>
    </xdr:to>
    <xdr:sp macro="" textlink="">
      <xdr:nvSpPr>
        <xdr:cNvPr id="59" name="Redondear rectángulo de esquina del mismo lado 5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 rot="5400000">
          <a:off x="378654" y="482407"/>
          <a:ext cx="256152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3. Puesto</a:t>
          </a:r>
        </a:p>
      </xdr:txBody>
    </xdr:sp>
    <xdr:clientData/>
  </xdr:twoCellAnchor>
  <xdr:twoCellAnchor>
    <xdr:from>
      <xdr:col>0</xdr:col>
      <xdr:colOff>0</xdr:colOff>
      <xdr:row>4</xdr:row>
      <xdr:rowOff>350520</xdr:rowOff>
    </xdr:from>
    <xdr:to>
      <xdr:col>0</xdr:col>
      <xdr:colOff>1013459</xdr:colOff>
      <xdr:row>5</xdr:row>
      <xdr:rowOff>172330</xdr:rowOff>
    </xdr:to>
    <xdr:sp macro="" textlink="">
      <xdr:nvSpPr>
        <xdr:cNvPr id="60" name="Redondear rectángulo de esquina del mismo lado 5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 rot="5400000">
          <a:off x="378655" y="72624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4. Tarea</a:t>
          </a:r>
        </a:p>
      </xdr:txBody>
    </xdr:sp>
    <xdr:clientData/>
  </xdr:twoCellAnchor>
  <xdr:twoCellAnchor>
    <xdr:from>
      <xdr:col>0</xdr:col>
      <xdr:colOff>0</xdr:colOff>
      <xdr:row>5</xdr:row>
      <xdr:rowOff>160022</xdr:rowOff>
    </xdr:from>
    <xdr:to>
      <xdr:col>0</xdr:col>
      <xdr:colOff>1013459</xdr:colOff>
      <xdr:row>6</xdr:row>
      <xdr:rowOff>141852</xdr:rowOff>
    </xdr:to>
    <xdr:sp macro="" textlink="">
      <xdr:nvSpPr>
        <xdr:cNvPr id="61" name="Redondear rectángulo de esquina del mismo lado 6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 rot="5400000">
          <a:off x="378655" y="97008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5.</a:t>
          </a:r>
          <a:r>
            <a:rPr lang="en-US" sz="1000" baseline="0">
              <a:solidFill>
                <a:sysClr val="windowText" lastClr="000000"/>
              </a:solidFill>
            </a:rPr>
            <a:t> Agente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6</xdr:row>
      <xdr:rowOff>129540</xdr:rowOff>
    </xdr:from>
    <xdr:to>
      <xdr:col>0</xdr:col>
      <xdr:colOff>1013459</xdr:colOff>
      <xdr:row>7</xdr:row>
      <xdr:rowOff>88510</xdr:rowOff>
    </xdr:to>
    <xdr:sp macro="" textlink="">
      <xdr:nvSpPr>
        <xdr:cNvPr id="62" name="Redondear rectángulo de esquina del mismo lado 6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 rot="5400000">
          <a:off x="378655" y="121392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6. Exposición</a:t>
          </a:r>
        </a:p>
      </xdr:txBody>
    </xdr:sp>
    <xdr:clientData/>
  </xdr:twoCellAnchor>
  <xdr:twoCellAnchor>
    <xdr:from>
      <xdr:col>0</xdr:col>
      <xdr:colOff>0</xdr:colOff>
      <xdr:row>7</xdr:row>
      <xdr:rowOff>76202</xdr:rowOff>
    </xdr:from>
    <xdr:to>
      <xdr:col>0</xdr:col>
      <xdr:colOff>1013459</xdr:colOff>
      <xdr:row>8</xdr:row>
      <xdr:rowOff>103752</xdr:rowOff>
    </xdr:to>
    <xdr:sp macro="" textlink="">
      <xdr:nvSpPr>
        <xdr:cNvPr id="63" name="Redondear rectángulo de esquina del mismo lado 6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 rot="5400000">
          <a:off x="378655" y="145776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Emisión</a:t>
          </a:r>
        </a:p>
      </xdr:txBody>
    </xdr:sp>
    <xdr:clientData/>
  </xdr:twoCellAnchor>
  <xdr:twoCellAnchor>
    <xdr:from>
      <xdr:col>0</xdr:col>
      <xdr:colOff>0</xdr:colOff>
      <xdr:row>8</xdr:row>
      <xdr:rowOff>91440</xdr:rowOff>
    </xdr:from>
    <xdr:to>
      <xdr:col>0</xdr:col>
      <xdr:colOff>1013459</xdr:colOff>
      <xdr:row>8</xdr:row>
      <xdr:rowOff>347590</xdr:rowOff>
    </xdr:to>
    <xdr:sp macro="" textlink="">
      <xdr:nvSpPr>
        <xdr:cNvPr id="64" name="Redondear rectángulo de esquina del mismo lado 6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 rot="5400000">
          <a:off x="378655" y="170160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Deposición</a:t>
          </a:r>
        </a:p>
      </xdr:txBody>
    </xdr:sp>
    <xdr:clientData/>
  </xdr:twoCellAnchor>
  <xdr:twoCellAnchor>
    <xdr:from>
      <xdr:col>0</xdr:col>
      <xdr:colOff>0</xdr:colOff>
      <xdr:row>8</xdr:row>
      <xdr:rowOff>335282</xdr:rowOff>
    </xdr:from>
    <xdr:to>
      <xdr:col>0</xdr:col>
      <xdr:colOff>1013459</xdr:colOff>
      <xdr:row>9</xdr:row>
      <xdr:rowOff>210432</xdr:rowOff>
    </xdr:to>
    <xdr:sp macro="" textlink="">
      <xdr:nvSpPr>
        <xdr:cNvPr id="65" name="Redondear rectángulo de esquina del mismo lado 6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 rot="5400000">
          <a:off x="378655" y="194544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Transferencia</a:t>
          </a:r>
        </a:p>
      </xdr:txBody>
    </xdr:sp>
    <xdr:clientData/>
  </xdr:twoCellAnchor>
  <xdr:twoCellAnchor>
    <xdr:from>
      <xdr:col>0</xdr:col>
      <xdr:colOff>0</xdr:colOff>
      <xdr:row>9</xdr:row>
      <xdr:rowOff>198124</xdr:rowOff>
    </xdr:from>
    <xdr:to>
      <xdr:col>0</xdr:col>
      <xdr:colOff>1013459</xdr:colOff>
      <xdr:row>10</xdr:row>
      <xdr:rowOff>58034</xdr:rowOff>
    </xdr:to>
    <xdr:sp macro="" textlink="">
      <xdr:nvSpPr>
        <xdr:cNvPr id="66" name="Redondear rectángulo de esquina del mismo lado 6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 rot="5400000">
          <a:off x="378655" y="2189289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Guantes</a:t>
          </a:r>
        </a:p>
      </xdr:txBody>
    </xdr:sp>
    <xdr:clientData/>
  </xdr:twoCellAnchor>
  <xdr:twoCellAnchor>
    <xdr:from>
      <xdr:col>0</xdr:col>
      <xdr:colOff>0</xdr:colOff>
      <xdr:row>10</xdr:row>
      <xdr:rowOff>45722</xdr:rowOff>
    </xdr:from>
    <xdr:to>
      <xdr:col>0</xdr:col>
      <xdr:colOff>1013459</xdr:colOff>
      <xdr:row>10</xdr:row>
      <xdr:rowOff>301872</xdr:rowOff>
    </xdr:to>
    <xdr:sp macro="" textlink="">
      <xdr:nvSpPr>
        <xdr:cNvPr id="67" name="Redondear rectángulo de esquina del mismo lado 6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 rot="5400000">
          <a:off x="378655" y="243312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Ropa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53342</xdr:rowOff>
    </xdr:from>
    <xdr:to>
      <xdr:col>0</xdr:col>
      <xdr:colOff>1013459</xdr:colOff>
      <xdr:row>4</xdr:row>
      <xdr:rowOff>118992</xdr:rowOff>
    </xdr:to>
    <xdr:sp macro="" textlink="">
      <xdr:nvSpPr>
        <xdr:cNvPr id="68" name="Redondear rectángulo de esquina del mismo lado 6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 rot="5400000">
          <a:off x="378655" y="238567"/>
          <a:ext cx="256150" cy="1013459"/>
        </a:xfrm>
        <a:prstGeom prst="round2Same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chemeClr val="bg1"/>
              </a:solidFill>
            </a:rPr>
            <a:t>2.</a:t>
          </a:r>
          <a:r>
            <a:rPr lang="en-US" sz="1000" baseline="0">
              <a:solidFill>
                <a:schemeClr val="bg1"/>
              </a:solidFill>
            </a:rPr>
            <a:t> Departamento</a:t>
          </a:r>
          <a:endParaRPr lang="en-US" sz="1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11</xdr:row>
      <xdr:rowOff>3</xdr:rowOff>
    </xdr:from>
    <xdr:to>
      <xdr:col>0</xdr:col>
      <xdr:colOff>1013459</xdr:colOff>
      <xdr:row>11</xdr:row>
      <xdr:rowOff>256153</xdr:rowOff>
    </xdr:to>
    <xdr:sp macro="" textlink="">
      <xdr:nvSpPr>
        <xdr:cNvPr id="69" name="Redondear rectángulo de esquina del mismo lado 6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 rot="5400000">
          <a:off x="378655" y="2692208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Resultados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2238375</xdr:colOff>
      <xdr:row>16</xdr:row>
      <xdr:rowOff>160591</xdr:rowOff>
    </xdr:from>
    <xdr:to>
      <xdr:col>3</xdr:col>
      <xdr:colOff>2678351</xdr:colOff>
      <xdr:row>16</xdr:row>
      <xdr:rowOff>378523</xdr:rowOff>
    </xdr:to>
    <xdr:sp macro="" textlink="">
      <xdr:nvSpPr>
        <xdr:cNvPr id="30" name="Flecha: a la derecha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6490335" y="4877371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57150</xdr:colOff>
      <xdr:row>16</xdr:row>
      <xdr:rowOff>160591</xdr:rowOff>
    </xdr:from>
    <xdr:to>
      <xdr:col>1</xdr:col>
      <xdr:colOff>497126</xdr:colOff>
      <xdr:row>16</xdr:row>
      <xdr:rowOff>378523</xdr:rowOff>
    </xdr:to>
    <xdr:sp macro="" textlink="">
      <xdr:nvSpPr>
        <xdr:cNvPr id="31" name="Flecha: a la derecha 3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 flipH="1">
          <a:off x="1474470" y="4877371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173296</xdr:colOff>
      <xdr:row>16</xdr:row>
      <xdr:rowOff>139065</xdr:rowOff>
    </xdr:from>
    <xdr:to>
      <xdr:col>2</xdr:col>
      <xdr:colOff>1154371</xdr:colOff>
      <xdr:row>17</xdr:row>
      <xdr:rowOff>11429</xdr:rowOff>
    </xdr:to>
    <xdr:sp macro="[0]!CleanDepart.CleanDepart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22136" y="4855845"/>
          <a:ext cx="981075" cy="260984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000"/>
            <a:t>Limpiar</a:t>
          </a:r>
          <a:r>
            <a:rPr lang="es-ES" sz="1000" baseline="0"/>
            <a:t> datos</a:t>
          </a:r>
          <a:endParaRPr lang="es-ES" sz="10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4</xdr:row>
          <xdr:rowOff>190500</xdr:rowOff>
        </xdr:from>
        <xdr:to>
          <xdr:col>3</xdr:col>
          <xdr:colOff>1133475</xdr:colOff>
          <xdr:row>4</xdr:row>
          <xdr:rowOff>400050</xdr:rowOff>
        </xdr:to>
        <xdr:sp macro="" textlink="">
          <xdr:nvSpPr>
            <xdr:cNvPr id="9223" name="B_1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3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/ NA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4</xdr:row>
          <xdr:rowOff>390525</xdr:rowOff>
        </xdr:from>
        <xdr:to>
          <xdr:col>3</xdr:col>
          <xdr:colOff>1143000</xdr:colOff>
          <xdr:row>4</xdr:row>
          <xdr:rowOff>609600</xdr:rowOff>
        </xdr:to>
        <xdr:sp macro="" textlink="">
          <xdr:nvSpPr>
            <xdr:cNvPr id="9224" name="B_2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57150</xdr:rowOff>
        </xdr:from>
        <xdr:to>
          <xdr:col>3</xdr:col>
          <xdr:colOff>1628775</xdr:colOff>
          <xdr:row>4</xdr:row>
          <xdr:rowOff>666750</xdr:rowOff>
        </xdr:to>
        <xdr:sp macro="" textlink="">
          <xdr:nvSpPr>
            <xdr:cNvPr id="9225" name="Group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3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5</xdr:row>
          <xdr:rowOff>247650</xdr:rowOff>
        </xdr:from>
        <xdr:to>
          <xdr:col>3</xdr:col>
          <xdr:colOff>1133475</xdr:colOff>
          <xdr:row>5</xdr:row>
          <xdr:rowOff>466725</xdr:rowOff>
        </xdr:to>
        <xdr:sp macro="" textlink="">
          <xdr:nvSpPr>
            <xdr:cNvPr id="9227" name="B_3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3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/ NA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5</xdr:row>
          <xdr:rowOff>447675</xdr:rowOff>
        </xdr:from>
        <xdr:to>
          <xdr:col>3</xdr:col>
          <xdr:colOff>1143000</xdr:colOff>
          <xdr:row>5</xdr:row>
          <xdr:rowOff>666750</xdr:rowOff>
        </xdr:to>
        <xdr:sp macro="" textlink="">
          <xdr:nvSpPr>
            <xdr:cNvPr id="9228" name="B_4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3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5</xdr:row>
          <xdr:rowOff>123825</xdr:rowOff>
        </xdr:from>
        <xdr:to>
          <xdr:col>3</xdr:col>
          <xdr:colOff>1628775</xdr:colOff>
          <xdr:row>5</xdr:row>
          <xdr:rowOff>733425</xdr:rowOff>
        </xdr:to>
        <xdr:sp macro="" textlink="">
          <xdr:nvSpPr>
            <xdr:cNvPr id="9229" name="Group Box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3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6</xdr:row>
          <xdr:rowOff>209550</xdr:rowOff>
        </xdr:from>
        <xdr:to>
          <xdr:col>3</xdr:col>
          <xdr:colOff>1133475</xdr:colOff>
          <xdr:row>6</xdr:row>
          <xdr:rowOff>419100</xdr:rowOff>
        </xdr:to>
        <xdr:sp macro="" textlink="">
          <xdr:nvSpPr>
            <xdr:cNvPr id="9233" name="B_5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3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/ NA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6</xdr:row>
          <xdr:rowOff>361950</xdr:rowOff>
        </xdr:from>
        <xdr:to>
          <xdr:col>3</xdr:col>
          <xdr:colOff>1133475</xdr:colOff>
          <xdr:row>6</xdr:row>
          <xdr:rowOff>590550</xdr:rowOff>
        </xdr:to>
        <xdr:sp macro="" textlink="">
          <xdr:nvSpPr>
            <xdr:cNvPr id="9234" name="B_6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3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6</xdr:row>
          <xdr:rowOff>76200</xdr:rowOff>
        </xdr:from>
        <xdr:to>
          <xdr:col>3</xdr:col>
          <xdr:colOff>1628775</xdr:colOff>
          <xdr:row>6</xdr:row>
          <xdr:rowOff>685800</xdr:rowOff>
        </xdr:to>
        <xdr:sp macro="" textlink="">
          <xdr:nvSpPr>
            <xdr:cNvPr id="9235" name="Group Box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3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7</xdr:row>
          <xdr:rowOff>247650</xdr:rowOff>
        </xdr:from>
        <xdr:to>
          <xdr:col>3</xdr:col>
          <xdr:colOff>1381125</xdr:colOff>
          <xdr:row>7</xdr:row>
          <xdr:rowOff>466725</xdr:rowOff>
        </xdr:to>
        <xdr:sp macro="" textlink="">
          <xdr:nvSpPr>
            <xdr:cNvPr id="9236" name="B_7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3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las lavan / NA 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7</xdr:row>
          <xdr:rowOff>400050</xdr:rowOff>
        </xdr:from>
        <xdr:to>
          <xdr:col>3</xdr:col>
          <xdr:colOff>1838325</xdr:colOff>
          <xdr:row>7</xdr:row>
          <xdr:rowOff>962025</xdr:rowOff>
        </xdr:to>
        <xdr:sp macro="" textlink="">
          <xdr:nvSpPr>
            <xdr:cNvPr id="9237" name="B_8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3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2-10 veces por jornada con agua o 2-5 veces por jornada con solventes o jabón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7</xdr:row>
          <xdr:rowOff>866775</xdr:rowOff>
        </xdr:from>
        <xdr:to>
          <xdr:col>3</xdr:col>
          <xdr:colOff>1828800</xdr:colOff>
          <xdr:row>7</xdr:row>
          <xdr:rowOff>1238250</xdr:rowOff>
        </xdr:to>
        <xdr:sp macro="" textlink="">
          <xdr:nvSpPr>
            <xdr:cNvPr id="9238" name="B_9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3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&gt;10 veces por jornada con agua o &gt;5 veces con solventes o jabón (0,1)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7</xdr:row>
          <xdr:rowOff>123825</xdr:rowOff>
        </xdr:from>
        <xdr:to>
          <xdr:col>3</xdr:col>
          <xdr:colOff>2076450</xdr:colOff>
          <xdr:row>7</xdr:row>
          <xdr:rowOff>1323975</xdr:rowOff>
        </xdr:to>
        <xdr:sp macro="" textlink="">
          <xdr:nvSpPr>
            <xdr:cNvPr id="9239" name="Group Box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3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WH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2266950</xdr:colOff>
      <xdr:row>8</xdr:row>
      <xdr:rowOff>147256</xdr:rowOff>
    </xdr:from>
    <xdr:to>
      <xdr:col>3</xdr:col>
      <xdr:colOff>2706926</xdr:colOff>
      <xdr:row>8</xdr:row>
      <xdr:rowOff>365188</xdr:rowOff>
    </xdr:to>
    <xdr:sp macro="" textlink="">
      <xdr:nvSpPr>
        <xdr:cNvPr id="27" name="Flecha: a la derecha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6518910" y="4551616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0</xdr:colOff>
      <xdr:row>8</xdr:row>
      <xdr:rowOff>147256</xdr:rowOff>
    </xdr:from>
    <xdr:to>
      <xdr:col>1</xdr:col>
      <xdr:colOff>439976</xdr:colOff>
      <xdr:row>8</xdr:row>
      <xdr:rowOff>365188</xdr:rowOff>
    </xdr:to>
    <xdr:sp macro="" textlink="">
      <xdr:nvSpPr>
        <xdr:cNvPr id="28" name="Flecha: a la derecha 2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 flipH="1">
          <a:off x="1417320" y="4551616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137577</xdr:colOff>
      <xdr:row>8</xdr:row>
      <xdr:rowOff>125730</xdr:rowOff>
    </xdr:from>
    <xdr:to>
      <xdr:col>2</xdr:col>
      <xdr:colOff>1118652</xdr:colOff>
      <xdr:row>8</xdr:row>
      <xdr:rowOff>386714</xdr:rowOff>
    </xdr:to>
    <xdr:sp macro="[0]!CleanPuesto.CleanPuesto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2286417" y="4530090"/>
          <a:ext cx="981075" cy="260984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000"/>
            <a:t>Limpiar</a:t>
          </a:r>
          <a:r>
            <a:rPr lang="es-ES" sz="1000" baseline="0"/>
            <a:t> datos</a:t>
          </a:r>
          <a:endParaRPr lang="es-ES" sz="10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1013459</xdr:colOff>
      <xdr:row>3</xdr:row>
      <xdr:rowOff>73270</xdr:rowOff>
    </xdr:to>
    <xdr:sp macro="" textlink="">
      <xdr:nvSpPr>
        <xdr:cNvPr id="35" name="Redondear rectángulo de esquina del mismo lado 3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 rot="5400000">
          <a:off x="378655" y="-1289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1.</a:t>
          </a:r>
          <a:r>
            <a:rPr lang="en-US" sz="1000" baseline="0">
              <a:solidFill>
                <a:sysClr val="windowText" lastClr="000000"/>
              </a:solidFill>
            </a:rPr>
            <a:t> Empresa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4</xdr:row>
      <xdr:rowOff>114301</xdr:rowOff>
    </xdr:from>
    <xdr:to>
      <xdr:col>0</xdr:col>
      <xdr:colOff>1013459</xdr:colOff>
      <xdr:row>4</xdr:row>
      <xdr:rowOff>370453</xdr:rowOff>
    </xdr:to>
    <xdr:sp macro="" textlink="">
      <xdr:nvSpPr>
        <xdr:cNvPr id="36" name="Redondear rectángulo de esquina del mismo lado 3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 rot="5400000">
          <a:off x="378654" y="467167"/>
          <a:ext cx="256152" cy="1013459"/>
        </a:xfrm>
        <a:prstGeom prst="round2Same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chemeClr val="bg1"/>
              </a:solidFill>
            </a:rPr>
            <a:t>3. Puesto</a:t>
          </a:r>
        </a:p>
      </xdr:txBody>
    </xdr:sp>
    <xdr:clientData/>
  </xdr:twoCellAnchor>
  <xdr:twoCellAnchor>
    <xdr:from>
      <xdr:col>0</xdr:col>
      <xdr:colOff>0</xdr:colOff>
      <xdr:row>4</xdr:row>
      <xdr:rowOff>358140</xdr:rowOff>
    </xdr:from>
    <xdr:to>
      <xdr:col>0</xdr:col>
      <xdr:colOff>1013459</xdr:colOff>
      <xdr:row>4</xdr:row>
      <xdr:rowOff>614290</xdr:rowOff>
    </xdr:to>
    <xdr:sp macro="" textlink="">
      <xdr:nvSpPr>
        <xdr:cNvPr id="37" name="Redondear rectángulo de esquina del mismo lado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 rot="5400000">
          <a:off x="378655" y="71100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4. Tarea</a:t>
          </a:r>
        </a:p>
      </xdr:txBody>
    </xdr:sp>
    <xdr:clientData/>
  </xdr:twoCellAnchor>
  <xdr:twoCellAnchor>
    <xdr:from>
      <xdr:col>0</xdr:col>
      <xdr:colOff>0</xdr:colOff>
      <xdr:row>4</xdr:row>
      <xdr:rowOff>601982</xdr:rowOff>
    </xdr:from>
    <xdr:to>
      <xdr:col>0</xdr:col>
      <xdr:colOff>1013459</xdr:colOff>
      <xdr:row>5</xdr:row>
      <xdr:rowOff>141852</xdr:rowOff>
    </xdr:to>
    <xdr:sp macro="" textlink="">
      <xdr:nvSpPr>
        <xdr:cNvPr id="38" name="Redondear rectángulo de esquina del mismo lado 3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 rot="5400000">
          <a:off x="378655" y="95484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5.</a:t>
          </a:r>
          <a:r>
            <a:rPr lang="en-US" sz="1000" baseline="0">
              <a:solidFill>
                <a:sysClr val="windowText" lastClr="000000"/>
              </a:solidFill>
            </a:rPr>
            <a:t> Agente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5</xdr:row>
      <xdr:rowOff>129540</xdr:rowOff>
    </xdr:from>
    <xdr:to>
      <xdr:col>0</xdr:col>
      <xdr:colOff>1013459</xdr:colOff>
      <xdr:row>5</xdr:row>
      <xdr:rowOff>385690</xdr:rowOff>
    </xdr:to>
    <xdr:sp macro="" textlink="">
      <xdr:nvSpPr>
        <xdr:cNvPr id="39" name="Redondear rectángulo de esquina del mismo lado 3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 rot="5400000">
          <a:off x="378655" y="119868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6. Exposición</a:t>
          </a:r>
        </a:p>
      </xdr:txBody>
    </xdr:sp>
    <xdr:clientData/>
  </xdr:twoCellAnchor>
  <xdr:twoCellAnchor>
    <xdr:from>
      <xdr:col>0</xdr:col>
      <xdr:colOff>0</xdr:colOff>
      <xdr:row>5</xdr:row>
      <xdr:rowOff>373382</xdr:rowOff>
    </xdr:from>
    <xdr:to>
      <xdr:col>0</xdr:col>
      <xdr:colOff>1013459</xdr:colOff>
      <xdr:row>5</xdr:row>
      <xdr:rowOff>629532</xdr:rowOff>
    </xdr:to>
    <xdr:sp macro="" textlink="">
      <xdr:nvSpPr>
        <xdr:cNvPr id="40" name="Redondear rectángulo de esquina del mismo lado 3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 rot="5400000">
          <a:off x="378655" y="144252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Emisión</a:t>
          </a:r>
        </a:p>
      </xdr:txBody>
    </xdr:sp>
    <xdr:clientData/>
  </xdr:twoCellAnchor>
  <xdr:twoCellAnchor>
    <xdr:from>
      <xdr:col>0</xdr:col>
      <xdr:colOff>0</xdr:colOff>
      <xdr:row>5</xdr:row>
      <xdr:rowOff>617220</xdr:rowOff>
    </xdr:from>
    <xdr:to>
      <xdr:col>0</xdr:col>
      <xdr:colOff>1013459</xdr:colOff>
      <xdr:row>6</xdr:row>
      <xdr:rowOff>73270</xdr:rowOff>
    </xdr:to>
    <xdr:sp macro="" textlink="">
      <xdr:nvSpPr>
        <xdr:cNvPr id="41" name="Redondear rectángulo de esquina del mismo lado 4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 rot="5400000">
          <a:off x="378655" y="168636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Deposición</a:t>
          </a:r>
        </a:p>
      </xdr:txBody>
    </xdr:sp>
    <xdr:clientData/>
  </xdr:twoCellAnchor>
  <xdr:twoCellAnchor>
    <xdr:from>
      <xdr:col>0</xdr:col>
      <xdr:colOff>0</xdr:colOff>
      <xdr:row>6</xdr:row>
      <xdr:rowOff>60962</xdr:rowOff>
    </xdr:from>
    <xdr:to>
      <xdr:col>0</xdr:col>
      <xdr:colOff>1013459</xdr:colOff>
      <xdr:row>6</xdr:row>
      <xdr:rowOff>317112</xdr:rowOff>
    </xdr:to>
    <xdr:sp macro="" textlink="">
      <xdr:nvSpPr>
        <xdr:cNvPr id="42" name="Redondear rectángulo de esquina del mismo lado 4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 rot="5400000">
          <a:off x="378655" y="193020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Transferencia</a:t>
          </a:r>
        </a:p>
      </xdr:txBody>
    </xdr:sp>
    <xdr:clientData/>
  </xdr:twoCellAnchor>
  <xdr:twoCellAnchor>
    <xdr:from>
      <xdr:col>0</xdr:col>
      <xdr:colOff>0</xdr:colOff>
      <xdr:row>6</xdr:row>
      <xdr:rowOff>304804</xdr:rowOff>
    </xdr:from>
    <xdr:to>
      <xdr:col>0</xdr:col>
      <xdr:colOff>1013459</xdr:colOff>
      <xdr:row>6</xdr:row>
      <xdr:rowOff>560954</xdr:rowOff>
    </xdr:to>
    <xdr:sp macro="" textlink="">
      <xdr:nvSpPr>
        <xdr:cNvPr id="43" name="Redondear rectángulo de esquina del mismo lado 4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 rot="5400000">
          <a:off x="378655" y="2174049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Guantes</a:t>
          </a:r>
        </a:p>
      </xdr:txBody>
    </xdr:sp>
    <xdr:clientData/>
  </xdr:twoCellAnchor>
  <xdr:twoCellAnchor>
    <xdr:from>
      <xdr:col>0</xdr:col>
      <xdr:colOff>0</xdr:colOff>
      <xdr:row>6</xdr:row>
      <xdr:rowOff>548642</xdr:rowOff>
    </xdr:from>
    <xdr:to>
      <xdr:col>0</xdr:col>
      <xdr:colOff>1013459</xdr:colOff>
      <xdr:row>7</xdr:row>
      <xdr:rowOff>50412</xdr:rowOff>
    </xdr:to>
    <xdr:sp macro="" textlink="">
      <xdr:nvSpPr>
        <xdr:cNvPr id="44" name="Redondear rectángulo de esquina del mismo lado 4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 rot="5400000">
          <a:off x="378655" y="241788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Ropa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60962</xdr:rowOff>
    </xdr:from>
    <xdr:to>
      <xdr:col>0</xdr:col>
      <xdr:colOff>1013459</xdr:colOff>
      <xdr:row>4</xdr:row>
      <xdr:rowOff>126612</xdr:rowOff>
    </xdr:to>
    <xdr:sp macro="" textlink="">
      <xdr:nvSpPr>
        <xdr:cNvPr id="45" name="Redondear rectángulo de esquina del mismo lado 4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 rot="5400000">
          <a:off x="382465" y="227137"/>
          <a:ext cx="24853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2.</a:t>
          </a:r>
          <a:r>
            <a:rPr lang="en-US" sz="1000" baseline="0">
              <a:solidFill>
                <a:sysClr val="windowText" lastClr="000000"/>
              </a:solidFill>
            </a:rPr>
            <a:t> Departamento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7</xdr:row>
      <xdr:rowOff>53343</xdr:rowOff>
    </xdr:from>
    <xdr:to>
      <xdr:col>0</xdr:col>
      <xdr:colOff>1013459</xdr:colOff>
      <xdr:row>7</xdr:row>
      <xdr:rowOff>309493</xdr:rowOff>
    </xdr:to>
    <xdr:sp macro="" textlink="">
      <xdr:nvSpPr>
        <xdr:cNvPr id="46" name="Redondear rectángulo de esquina del mismo lado 4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 rot="5400000">
          <a:off x="378655" y="2676968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Resultados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5</xdr:row>
          <xdr:rowOff>0</xdr:rowOff>
        </xdr:from>
        <xdr:to>
          <xdr:col>3</xdr:col>
          <xdr:colOff>381000</xdr:colOff>
          <xdr:row>5</xdr:row>
          <xdr:rowOff>361950</xdr:rowOff>
        </xdr:to>
        <xdr:sp macro="" textlink="">
          <xdr:nvSpPr>
            <xdr:cNvPr id="35841" name="B_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365760</xdr:colOff>
      <xdr:row>4</xdr:row>
      <xdr:rowOff>222885</xdr:rowOff>
    </xdr:from>
    <xdr:to>
      <xdr:col>3</xdr:col>
      <xdr:colOff>1744980</xdr:colOff>
      <xdr:row>6</xdr:row>
      <xdr:rowOff>76200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4509135" y="984885"/>
          <a:ext cx="1379220" cy="66294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>
              <a:latin typeface="+mn-lt"/>
              <a:cs typeface="Arial" panose="020B0604020202020204" pitchFamily="34" charset="0"/>
            </a:rPr>
            <a:t>≤ 10 min por día ó </a:t>
          </a:r>
        </a:p>
        <a:p>
          <a:r>
            <a:rPr lang="en-US" sz="900" b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≤ 1</a:t>
          </a:r>
          <a:r>
            <a:rPr lang="en-US" sz="900" b="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hora por semana</a:t>
          </a:r>
          <a:r>
            <a:rPr lang="en-US" sz="900" b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ó </a:t>
          </a:r>
        </a:p>
        <a:p>
          <a:r>
            <a:rPr lang="en-US" sz="900" b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≤ 4 horas por mes ó</a:t>
          </a:r>
        </a:p>
        <a:p>
          <a:r>
            <a:rPr lang="en-US" sz="900" b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≤ 40 horas por año  </a:t>
          </a:r>
        </a:p>
        <a:p>
          <a:r>
            <a:rPr lang="en-US" sz="900" b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 </a:t>
          </a:r>
          <a:endParaRPr lang="en-US" sz="1000" b="0">
            <a:latin typeface="+mn-lt"/>
            <a:cs typeface="Arial" panose="020B0604020202020204" pitchFamily="34" charset="0"/>
          </a:endParaRPr>
        </a:p>
      </xdr:txBody>
    </xdr:sp>
    <xdr:clientData/>
  </xdr:twoCellAnchor>
  <xdr:oneCellAnchor>
    <xdr:from>
      <xdr:col>3</xdr:col>
      <xdr:colOff>1859280</xdr:colOff>
      <xdr:row>5</xdr:row>
      <xdr:rowOff>78105</xdr:rowOff>
    </xdr:from>
    <xdr:ext cx="458908" cy="233205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6002655" y="1144905"/>
          <a:ext cx="458908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>
              <a:latin typeface="+mn-lt"/>
              <a:cs typeface="Arial" panose="020B0604020202020204" pitchFamily="34" charset="0"/>
            </a:rPr>
            <a:t>(0,03)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6</xdr:row>
          <xdr:rowOff>190500</xdr:rowOff>
        </xdr:from>
        <xdr:to>
          <xdr:col>3</xdr:col>
          <xdr:colOff>381000</xdr:colOff>
          <xdr:row>6</xdr:row>
          <xdr:rowOff>533400</xdr:rowOff>
        </xdr:to>
        <xdr:sp macro="" textlink="">
          <xdr:nvSpPr>
            <xdr:cNvPr id="35842" name="B_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365760</xdr:colOff>
      <xdr:row>6</xdr:row>
      <xdr:rowOff>120014</xdr:rowOff>
    </xdr:from>
    <xdr:to>
      <xdr:col>3</xdr:col>
      <xdr:colOff>1813560</xdr:colOff>
      <xdr:row>6</xdr:row>
      <xdr:rowOff>857249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4509135" y="1691639"/>
          <a:ext cx="1447800" cy="73723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>
              <a:latin typeface="+mn-lt"/>
              <a:cs typeface="Arial" panose="020B0604020202020204" pitchFamily="34" charset="0"/>
            </a:rPr>
            <a:t>&gt; 10-60 min por día ó </a:t>
          </a: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&gt;</a:t>
          </a:r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</a:t>
          </a: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1-4</a:t>
          </a:r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hora por semana</a:t>
          </a: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ó </a:t>
          </a: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&gt; 4-16 horas por mes ó</a:t>
          </a: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&gt; 40-160 horas por año  </a:t>
          </a: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 </a:t>
          </a:r>
          <a:endParaRPr lang="en-US" sz="900">
            <a:latin typeface="+mn-lt"/>
            <a:cs typeface="Arial" panose="020B0604020202020204" pitchFamily="34" charset="0"/>
          </a:endParaRPr>
        </a:p>
      </xdr:txBody>
    </xdr:sp>
    <xdr:clientData/>
  </xdr:twoCellAnchor>
  <xdr:oneCellAnchor>
    <xdr:from>
      <xdr:col>3</xdr:col>
      <xdr:colOff>1859280</xdr:colOff>
      <xdr:row>6</xdr:row>
      <xdr:rowOff>264795</xdr:rowOff>
    </xdr:from>
    <xdr:ext cx="400431" cy="233205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6002655" y="1836420"/>
          <a:ext cx="400431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>
              <a:latin typeface="+mn-lt"/>
              <a:cs typeface="Arial" panose="020B0604020202020204" pitchFamily="34" charset="0"/>
            </a:rPr>
            <a:t>(0,1)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6</xdr:row>
          <xdr:rowOff>933450</xdr:rowOff>
        </xdr:from>
        <xdr:to>
          <xdr:col>3</xdr:col>
          <xdr:colOff>381000</xdr:colOff>
          <xdr:row>7</xdr:row>
          <xdr:rowOff>0</xdr:rowOff>
        </xdr:to>
        <xdr:sp macro="" textlink="">
          <xdr:nvSpPr>
            <xdr:cNvPr id="35843" name="B_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358140</xdr:colOff>
      <xdr:row>6</xdr:row>
      <xdr:rowOff>824864</xdr:rowOff>
    </xdr:from>
    <xdr:to>
      <xdr:col>3</xdr:col>
      <xdr:colOff>2042160</xdr:colOff>
      <xdr:row>7</xdr:row>
      <xdr:rowOff>285749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501515" y="2396489"/>
          <a:ext cx="1684020" cy="69913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>
              <a:latin typeface="Arial" panose="020B0604020202020204" pitchFamily="34" charset="0"/>
              <a:cs typeface="Arial" panose="020B0604020202020204" pitchFamily="34" charset="0"/>
            </a:rPr>
            <a:t>&gt; </a:t>
          </a:r>
          <a:r>
            <a:rPr lang="en-US" sz="900">
              <a:latin typeface="+mn-lt"/>
              <a:cs typeface="Arial" panose="020B0604020202020204" pitchFamily="34" charset="0"/>
            </a:rPr>
            <a:t>1-4</a:t>
          </a:r>
          <a:r>
            <a:rPr lang="en-US" sz="900" baseline="0">
              <a:latin typeface="+mn-lt"/>
              <a:cs typeface="Arial" panose="020B0604020202020204" pitchFamily="34" charset="0"/>
            </a:rPr>
            <a:t> horas por día</a:t>
          </a:r>
          <a:endParaRPr lang="en-US" sz="900">
            <a:latin typeface="+mn-lt"/>
            <a:cs typeface="Arial" panose="020B0604020202020204" pitchFamily="34" charset="0"/>
          </a:endParaRP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&gt;</a:t>
          </a:r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4</a:t>
          </a: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-20</a:t>
          </a:r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horas por semana</a:t>
          </a: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ó </a:t>
          </a: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&gt; 16-80 horas por mes ó</a:t>
          </a: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&gt; 160-800 horas por año  </a:t>
          </a: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 </a:t>
          </a:r>
          <a:endParaRPr lang="en-US" sz="900">
            <a:latin typeface="+mn-lt"/>
            <a:cs typeface="Arial" panose="020B0604020202020204" pitchFamily="34" charset="0"/>
          </a:endParaRPr>
        </a:p>
      </xdr:txBody>
    </xdr:sp>
    <xdr:clientData/>
  </xdr:twoCellAnchor>
  <xdr:oneCellAnchor>
    <xdr:from>
      <xdr:col>3</xdr:col>
      <xdr:colOff>1851660</xdr:colOff>
      <xdr:row>6</xdr:row>
      <xdr:rowOff>969645</xdr:rowOff>
    </xdr:from>
    <xdr:ext cx="400431" cy="233205"/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5995035" y="2541270"/>
          <a:ext cx="400431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>
              <a:latin typeface="+mn-lt"/>
              <a:cs typeface="Arial" panose="020B0604020202020204" pitchFamily="34" charset="0"/>
            </a:rPr>
            <a:t>(0,3)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7</xdr:row>
          <xdr:rowOff>381000</xdr:rowOff>
        </xdr:from>
        <xdr:to>
          <xdr:col>3</xdr:col>
          <xdr:colOff>352425</xdr:colOff>
          <xdr:row>7</xdr:row>
          <xdr:rowOff>742950</xdr:rowOff>
        </xdr:to>
        <xdr:sp macro="" textlink="">
          <xdr:nvSpPr>
            <xdr:cNvPr id="35844" name="B_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358140</xdr:colOff>
      <xdr:row>7</xdr:row>
      <xdr:rowOff>285750</xdr:rowOff>
    </xdr:from>
    <xdr:to>
      <xdr:col>3</xdr:col>
      <xdr:colOff>2042160</xdr:colOff>
      <xdr:row>7</xdr:row>
      <xdr:rowOff>969645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501515" y="3095625"/>
          <a:ext cx="1684020" cy="68389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>
              <a:latin typeface="Arial" panose="020B0604020202020204" pitchFamily="34" charset="0"/>
              <a:cs typeface="Arial" panose="020B0604020202020204" pitchFamily="34" charset="0"/>
            </a:rPr>
            <a:t>&gt; </a:t>
          </a:r>
          <a:r>
            <a:rPr lang="en-US" sz="900">
              <a:latin typeface="+mn-lt"/>
              <a:cs typeface="Arial" panose="020B0604020202020204" pitchFamily="34" charset="0"/>
            </a:rPr>
            <a:t>4-8</a:t>
          </a:r>
          <a:r>
            <a:rPr lang="en-US" sz="900" baseline="0">
              <a:latin typeface="+mn-lt"/>
              <a:cs typeface="Arial" panose="020B0604020202020204" pitchFamily="34" charset="0"/>
            </a:rPr>
            <a:t> horas por día</a:t>
          </a:r>
          <a:endParaRPr lang="en-US" sz="900">
            <a:latin typeface="+mn-lt"/>
            <a:cs typeface="Arial" panose="020B0604020202020204" pitchFamily="34" charset="0"/>
          </a:endParaRP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&gt;</a:t>
          </a:r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</a:t>
          </a: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20-40</a:t>
          </a:r>
          <a:r>
            <a:rPr lang="en-US" sz="900" baseline="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horas por semana</a:t>
          </a: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ó </a:t>
          </a: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&gt; 80 horas por mes ó</a:t>
          </a: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&gt; 800 horas por año  </a:t>
          </a:r>
        </a:p>
        <a:p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Arial" panose="020B0604020202020204" pitchFamily="34" charset="0"/>
            </a:rPr>
            <a:t>  </a:t>
          </a:r>
          <a:endParaRPr lang="en-US" sz="900">
            <a:latin typeface="+mn-lt"/>
            <a:cs typeface="Arial" panose="020B0604020202020204" pitchFamily="34" charset="0"/>
          </a:endParaRPr>
        </a:p>
      </xdr:txBody>
    </xdr:sp>
    <xdr:clientData/>
  </xdr:twoCellAnchor>
  <xdr:oneCellAnchor>
    <xdr:from>
      <xdr:col>3</xdr:col>
      <xdr:colOff>1889760</xdr:colOff>
      <xdr:row>7</xdr:row>
      <xdr:rowOff>466725</xdr:rowOff>
    </xdr:from>
    <xdr:ext cx="313163" cy="233205"/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6033135" y="3276600"/>
          <a:ext cx="31316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>
              <a:latin typeface="+mn-lt"/>
              <a:cs typeface="Arial" panose="020B0604020202020204" pitchFamily="34" charset="0"/>
            </a:rPr>
            <a:t>(1)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4</xdr:row>
          <xdr:rowOff>85725</xdr:rowOff>
        </xdr:from>
        <xdr:to>
          <xdr:col>3</xdr:col>
          <xdr:colOff>2619375</xdr:colOff>
          <xdr:row>7</xdr:row>
          <xdr:rowOff>1000125</xdr:rowOff>
        </xdr:to>
        <xdr:sp macro="" textlink="">
          <xdr:nvSpPr>
            <xdr:cNvPr id="35845" name="Group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RTD_CAT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2266950</xdr:colOff>
      <xdr:row>8</xdr:row>
      <xdr:rowOff>163742</xdr:rowOff>
    </xdr:from>
    <xdr:to>
      <xdr:col>3</xdr:col>
      <xdr:colOff>2706926</xdr:colOff>
      <xdr:row>8</xdr:row>
      <xdr:rowOff>381674</xdr:rowOff>
    </xdr:to>
    <xdr:sp macro="" textlink="">
      <xdr:nvSpPr>
        <xdr:cNvPr id="28" name="Flecha: a la derecha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6522427" y="4032357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0</xdr:colOff>
      <xdr:row>8</xdr:row>
      <xdr:rowOff>163742</xdr:rowOff>
    </xdr:from>
    <xdr:to>
      <xdr:col>1</xdr:col>
      <xdr:colOff>439976</xdr:colOff>
      <xdr:row>8</xdr:row>
      <xdr:rowOff>381674</xdr:rowOff>
    </xdr:to>
    <xdr:sp macro="" textlink="">
      <xdr:nvSpPr>
        <xdr:cNvPr id="29" name="Flecha: a la derecha 2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 flipH="1">
          <a:off x="1418492" y="4032357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136697</xdr:colOff>
      <xdr:row>8</xdr:row>
      <xdr:rowOff>141044</xdr:rowOff>
    </xdr:from>
    <xdr:to>
      <xdr:col>2</xdr:col>
      <xdr:colOff>1117772</xdr:colOff>
      <xdr:row>9</xdr:row>
      <xdr:rowOff>5788</xdr:rowOff>
    </xdr:to>
    <xdr:sp macro="[0]!CleanTarea.CleanTarea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2287882" y="4009659"/>
          <a:ext cx="981075" cy="263329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000"/>
            <a:t>Limpiar</a:t>
          </a:r>
          <a:r>
            <a:rPr lang="es-ES" sz="1000" baseline="0"/>
            <a:t> datos</a:t>
          </a:r>
          <a:endParaRPr lang="es-ES" sz="10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1013459</xdr:colOff>
      <xdr:row>3</xdr:row>
      <xdr:rowOff>73270</xdr:rowOff>
    </xdr:to>
    <xdr:sp macro="" textlink="">
      <xdr:nvSpPr>
        <xdr:cNvPr id="19" name="Redondear rectángulo de esquina del mismo lado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 rot="5400000">
          <a:off x="378655" y="-1289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1.</a:t>
          </a:r>
          <a:r>
            <a:rPr lang="en-US" sz="1000" baseline="0">
              <a:solidFill>
                <a:sysClr val="windowText" lastClr="000000"/>
              </a:solidFill>
            </a:rPr>
            <a:t> Empresa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4</xdr:row>
      <xdr:rowOff>114301</xdr:rowOff>
    </xdr:from>
    <xdr:to>
      <xdr:col>0</xdr:col>
      <xdr:colOff>1013459</xdr:colOff>
      <xdr:row>5</xdr:row>
      <xdr:rowOff>65653</xdr:rowOff>
    </xdr:to>
    <xdr:sp macro="" textlink="">
      <xdr:nvSpPr>
        <xdr:cNvPr id="20" name="Redondear rectángulo de esquina del mismo lado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 rot="5400000">
          <a:off x="378654" y="467167"/>
          <a:ext cx="256152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chemeClr val="tx1"/>
              </a:solidFill>
            </a:rPr>
            <a:t>3. Puesto</a:t>
          </a:r>
        </a:p>
      </xdr:txBody>
    </xdr:sp>
    <xdr:clientData/>
  </xdr:twoCellAnchor>
  <xdr:twoCellAnchor>
    <xdr:from>
      <xdr:col>0</xdr:col>
      <xdr:colOff>0</xdr:colOff>
      <xdr:row>5</xdr:row>
      <xdr:rowOff>53340</xdr:rowOff>
    </xdr:from>
    <xdr:to>
      <xdr:col>0</xdr:col>
      <xdr:colOff>1013459</xdr:colOff>
      <xdr:row>5</xdr:row>
      <xdr:rowOff>309490</xdr:rowOff>
    </xdr:to>
    <xdr:sp macro="" textlink="">
      <xdr:nvSpPr>
        <xdr:cNvPr id="21" name="Redondear rectángulo de esquina del mismo lado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 rot="5400000">
          <a:off x="378655" y="711005"/>
          <a:ext cx="256150" cy="1013459"/>
        </a:xfrm>
        <a:prstGeom prst="round2Same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chemeClr val="bg1"/>
              </a:solidFill>
            </a:rPr>
            <a:t>4. Tarea</a:t>
          </a:r>
        </a:p>
      </xdr:txBody>
    </xdr:sp>
    <xdr:clientData/>
  </xdr:twoCellAnchor>
  <xdr:twoCellAnchor>
    <xdr:from>
      <xdr:col>0</xdr:col>
      <xdr:colOff>0</xdr:colOff>
      <xdr:row>5</xdr:row>
      <xdr:rowOff>297182</xdr:rowOff>
    </xdr:from>
    <xdr:to>
      <xdr:col>0</xdr:col>
      <xdr:colOff>1013459</xdr:colOff>
      <xdr:row>6</xdr:row>
      <xdr:rowOff>42792</xdr:rowOff>
    </xdr:to>
    <xdr:sp macro="" textlink="">
      <xdr:nvSpPr>
        <xdr:cNvPr id="22" name="Redondear rectángulo de esquina del mismo lad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 rot="5400000">
          <a:off x="378655" y="95484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5.</a:t>
          </a:r>
          <a:r>
            <a:rPr lang="en-US" sz="1000" baseline="0">
              <a:solidFill>
                <a:sysClr val="windowText" lastClr="000000"/>
              </a:solidFill>
            </a:rPr>
            <a:t> Agente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6</xdr:row>
      <xdr:rowOff>30480</xdr:rowOff>
    </xdr:from>
    <xdr:to>
      <xdr:col>0</xdr:col>
      <xdr:colOff>1013459</xdr:colOff>
      <xdr:row>6</xdr:row>
      <xdr:rowOff>286630</xdr:rowOff>
    </xdr:to>
    <xdr:sp macro="" textlink="">
      <xdr:nvSpPr>
        <xdr:cNvPr id="23" name="Redondear rectángulo de esquina del mismo lado 2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 rot="5400000">
          <a:off x="378655" y="119868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6. Exposición</a:t>
          </a:r>
        </a:p>
      </xdr:txBody>
    </xdr:sp>
    <xdr:clientData/>
  </xdr:twoCellAnchor>
  <xdr:twoCellAnchor>
    <xdr:from>
      <xdr:col>0</xdr:col>
      <xdr:colOff>0</xdr:colOff>
      <xdr:row>6</xdr:row>
      <xdr:rowOff>274322</xdr:rowOff>
    </xdr:from>
    <xdr:to>
      <xdr:col>0</xdr:col>
      <xdr:colOff>1013459</xdr:colOff>
      <xdr:row>6</xdr:row>
      <xdr:rowOff>530472</xdr:rowOff>
    </xdr:to>
    <xdr:sp macro="" textlink="">
      <xdr:nvSpPr>
        <xdr:cNvPr id="24" name="Redondear rectángulo de esquina del mismo lado 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 rot="5400000">
          <a:off x="378655" y="144252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Emisión</a:t>
          </a:r>
        </a:p>
      </xdr:txBody>
    </xdr:sp>
    <xdr:clientData/>
  </xdr:twoCellAnchor>
  <xdr:twoCellAnchor>
    <xdr:from>
      <xdr:col>0</xdr:col>
      <xdr:colOff>0</xdr:colOff>
      <xdr:row>6</xdr:row>
      <xdr:rowOff>518160</xdr:rowOff>
    </xdr:from>
    <xdr:to>
      <xdr:col>0</xdr:col>
      <xdr:colOff>1013459</xdr:colOff>
      <xdr:row>6</xdr:row>
      <xdr:rowOff>774310</xdr:rowOff>
    </xdr:to>
    <xdr:sp macro="" textlink="">
      <xdr:nvSpPr>
        <xdr:cNvPr id="25" name="Redondear rectángulo de esquina del mismo lado 2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 rot="5400000">
          <a:off x="378655" y="168636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Deposición</a:t>
          </a:r>
        </a:p>
      </xdr:txBody>
    </xdr:sp>
    <xdr:clientData/>
  </xdr:twoCellAnchor>
  <xdr:twoCellAnchor>
    <xdr:from>
      <xdr:col>0</xdr:col>
      <xdr:colOff>0</xdr:colOff>
      <xdr:row>6</xdr:row>
      <xdr:rowOff>762002</xdr:rowOff>
    </xdr:from>
    <xdr:to>
      <xdr:col>0</xdr:col>
      <xdr:colOff>1013459</xdr:colOff>
      <xdr:row>6</xdr:row>
      <xdr:rowOff>1018152</xdr:rowOff>
    </xdr:to>
    <xdr:sp macro="" textlink="">
      <xdr:nvSpPr>
        <xdr:cNvPr id="26" name="Redondear rectángulo de esquina del mismo lado 2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 rot="5400000">
          <a:off x="378655" y="193020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Transferencia</a:t>
          </a:r>
        </a:p>
      </xdr:txBody>
    </xdr:sp>
    <xdr:clientData/>
  </xdr:twoCellAnchor>
  <xdr:twoCellAnchor>
    <xdr:from>
      <xdr:col>0</xdr:col>
      <xdr:colOff>0</xdr:colOff>
      <xdr:row>6</xdr:row>
      <xdr:rowOff>1005844</xdr:rowOff>
    </xdr:from>
    <xdr:to>
      <xdr:col>0</xdr:col>
      <xdr:colOff>1013459</xdr:colOff>
      <xdr:row>7</xdr:row>
      <xdr:rowOff>19934</xdr:rowOff>
    </xdr:to>
    <xdr:sp macro="" textlink="">
      <xdr:nvSpPr>
        <xdr:cNvPr id="27" name="Redondear rectángulo de esquina del mismo lado 2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 rot="5400000">
          <a:off x="378655" y="2174049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Guantes</a:t>
          </a:r>
        </a:p>
      </xdr:txBody>
    </xdr:sp>
    <xdr:clientData/>
  </xdr:twoCellAnchor>
  <xdr:twoCellAnchor>
    <xdr:from>
      <xdr:col>0</xdr:col>
      <xdr:colOff>0</xdr:colOff>
      <xdr:row>7</xdr:row>
      <xdr:rowOff>7622</xdr:rowOff>
    </xdr:from>
    <xdr:to>
      <xdr:col>0</xdr:col>
      <xdr:colOff>1013459</xdr:colOff>
      <xdr:row>7</xdr:row>
      <xdr:rowOff>263772</xdr:rowOff>
    </xdr:to>
    <xdr:sp macro="" textlink="">
      <xdr:nvSpPr>
        <xdr:cNvPr id="32" name="Redondear rectángulo de esquina del mismo lado 3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 rot="5400000">
          <a:off x="378655" y="241788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Ropa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60962</xdr:rowOff>
    </xdr:from>
    <xdr:to>
      <xdr:col>0</xdr:col>
      <xdr:colOff>1013459</xdr:colOff>
      <xdr:row>4</xdr:row>
      <xdr:rowOff>126612</xdr:rowOff>
    </xdr:to>
    <xdr:sp macro="" textlink="">
      <xdr:nvSpPr>
        <xdr:cNvPr id="33" name="Redondear rectángulo de esquina del mismo lado 3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 rot="5400000">
          <a:off x="382465" y="227137"/>
          <a:ext cx="24853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2.</a:t>
          </a:r>
          <a:r>
            <a:rPr lang="en-US" sz="1000" baseline="0">
              <a:solidFill>
                <a:sysClr val="windowText" lastClr="000000"/>
              </a:solidFill>
            </a:rPr>
            <a:t> Departamento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7</xdr:row>
      <xdr:rowOff>266703</xdr:rowOff>
    </xdr:from>
    <xdr:to>
      <xdr:col>0</xdr:col>
      <xdr:colOff>1013459</xdr:colOff>
      <xdr:row>7</xdr:row>
      <xdr:rowOff>522853</xdr:rowOff>
    </xdr:to>
    <xdr:sp macro="" textlink="">
      <xdr:nvSpPr>
        <xdr:cNvPr id="34" name="Redondear rectángulo de esquina del mismo lado 3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 rot="5400000">
          <a:off x="378655" y="2676968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Resultados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5</xdr:row>
          <xdr:rowOff>104775</xdr:rowOff>
        </xdr:from>
        <xdr:to>
          <xdr:col>3</xdr:col>
          <xdr:colOff>2447925</xdr:colOff>
          <xdr:row>6</xdr:row>
          <xdr:rowOff>95250</xdr:rowOff>
        </xdr:to>
        <xdr:sp macro="" textlink="">
          <xdr:nvSpPr>
            <xdr:cNvPr id="34817" name="B_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5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Puro (≥90% del ingrediente activo de interés)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6</xdr:row>
          <xdr:rowOff>85725</xdr:rowOff>
        </xdr:from>
        <xdr:to>
          <xdr:col>3</xdr:col>
          <xdr:colOff>2447925</xdr:colOff>
          <xdr:row>6</xdr:row>
          <xdr:rowOff>285750</xdr:rowOff>
        </xdr:to>
        <xdr:sp macro="" textlink="">
          <xdr:nvSpPr>
            <xdr:cNvPr id="34818" name="B_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5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Mezcla (1-90% del agente activo de interés)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7</xdr:row>
          <xdr:rowOff>9525</xdr:rowOff>
        </xdr:from>
        <xdr:to>
          <xdr:col>3</xdr:col>
          <xdr:colOff>2476500</xdr:colOff>
          <xdr:row>7</xdr:row>
          <xdr:rowOff>238125</xdr:rowOff>
        </xdr:to>
        <xdr:sp macro="" textlink="">
          <xdr:nvSpPr>
            <xdr:cNvPr id="34819" name="B_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5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Residuo (&lt;1% del agente activo de interés) (0,1)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5</xdr:row>
          <xdr:rowOff>47625</xdr:rowOff>
        </xdr:from>
        <xdr:to>
          <xdr:col>3</xdr:col>
          <xdr:colOff>2638425</xdr:colOff>
          <xdr:row>7</xdr:row>
          <xdr:rowOff>257175</xdr:rowOff>
        </xdr:to>
        <xdr:sp macro="" textlink="">
          <xdr:nvSpPr>
            <xdr:cNvPr id="34820" name="Group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5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8</xdr:row>
          <xdr:rowOff>171450</xdr:rowOff>
        </xdr:from>
        <xdr:to>
          <xdr:col>3</xdr:col>
          <xdr:colOff>1133475</xdr:colOff>
          <xdr:row>9</xdr:row>
          <xdr:rowOff>57150</xdr:rowOff>
        </xdr:to>
        <xdr:sp macro="" textlink="">
          <xdr:nvSpPr>
            <xdr:cNvPr id="34821" name="B_4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5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Sólido [ir a 5.1]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9</xdr:row>
          <xdr:rowOff>76200</xdr:rowOff>
        </xdr:from>
        <xdr:to>
          <xdr:col>3</xdr:col>
          <xdr:colOff>1133475</xdr:colOff>
          <xdr:row>9</xdr:row>
          <xdr:rowOff>285750</xdr:rowOff>
        </xdr:to>
        <xdr:sp macro="" textlink="">
          <xdr:nvSpPr>
            <xdr:cNvPr id="34822" name="B_5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5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Líquido [ir a 6.1]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9</xdr:row>
          <xdr:rowOff>295275</xdr:rowOff>
        </xdr:from>
        <xdr:to>
          <xdr:col>3</xdr:col>
          <xdr:colOff>2447925</xdr:colOff>
          <xdr:row>10</xdr:row>
          <xdr:rowOff>228600</xdr:rowOff>
        </xdr:to>
        <xdr:sp macro="" textlink="">
          <xdr:nvSpPr>
            <xdr:cNvPr id="34823" name="B_6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5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Vapor o gas [ir a siguiente módulo]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8</xdr:row>
          <xdr:rowOff>57150</xdr:rowOff>
        </xdr:from>
        <xdr:to>
          <xdr:col>3</xdr:col>
          <xdr:colOff>2638425</xdr:colOff>
          <xdr:row>10</xdr:row>
          <xdr:rowOff>266700</xdr:rowOff>
        </xdr:to>
        <xdr:sp macro="" textlink="">
          <xdr:nvSpPr>
            <xdr:cNvPr id="34824" name="Group Box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5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11</xdr:row>
          <xdr:rowOff>171450</xdr:rowOff>
        </xdr:from>
        <xdr:to>
          <xdr:col>3</xdr:col>
          <xdr:colOff>1514475</xdr:colOff>
          <xdr:row>12</xdr:row>
          <xdr:rowOff>104775</xdr:rowOff>
        </xdr:to>
        <xdr:sp macro="" textlink="">
          <xdr:nvSpPr>
            <xdr:cNvPr id="34825" name="B_11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5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Polvo/partículas finas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12</xdr:row>
          <xdr:rowOff>123825</xdr:rowOff>
        </xdr:from>
        <xdr:to>
          <xdr:col>3</xdr:col>
          <xdr:colOff>2190750</xdr:colOff>
          <xdr:row>13</xdr:row>
          <xdr:rowOff>0</xdr:rowOff>
        </xdr:to>
        <xdr:sp macro="" textlink="">
          <xdr:nvSpPr>
            <xdr:cNvPr id="34826" name="B_12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5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Granulado/fragmento/trozo/hojuela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13</xdr:row>
          <xdr:rowOff>9525</xdr:rowOff>
        </xdr:from>
        <xdr:to>
          <xdr:col>3</xdr:col>
          <xdr:colOff>2190750</xdr:colOff>
          <xdr:row>13</xdr:row>
          <xdr:rowOff>200025</xdr:rowOff>
        </xdr:to>
        <xdr:sp macro="" textlink="">
          <xdr:nvSpPr>
            <xdr:cNvPr id="34827" name="B_13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5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Paquete/barra/manojo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11</xdr:row>
          <xdr:rowOff>57150</xdr:rowOff>
        </xdr:from>
        <xdr:to>
          <xdr:col>3</xdr:col>
          <xdr:colOff>2638425</xdr:colOff>
          <xdr:row>13</xdr:row>
          <xdr:rowOff>257175</xdr:rowOff>
        </xdr:to>
        <xdr:sp macro="" textlink="">
          <xdr:nvSpPr>
            <xdr:cNvPr id="34828" name="Group Box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5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14</xdr:row>
          <xdr:rowOff>200025</xdr:rowOff>
        </xdr:from>
        <xdr:to>
          <xdr:col>3</xdr:col>
          <xdr:colOff>1181100</xdr:colOff>
          <xdr:row>15</xdr:row>
          <xdr:rowOff>0</xdr:rowOff>
        </xdr:to>
        <xdr:sp macro="" textlink="">
          <xdr:nvSpPr>
            <xdr:cNvPr id="34829" name="B_14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5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15</xdr:row>
          <xdr:rowOff>47625</xdr:rowOff>
        </xdr:from>
        <xdr:to>
          <xdr:col>3</xdr:col>
          <xdr:colOff>1181100</xdr:colOff>
          <xdr:row>15</xdr:row>
          <xdr:rowOff>247650</xdr:rowOff>
        </xdr:to>
        <xdr:sp macro="" textlink="">
          <xdr:nvSpPr>
            <xdr:cNvPr id="34830" name="B_15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5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14</xdr:row>
          <xdr:rowOff>57150</xdr:rowOff>
        </xdr:from>
        <xdr:to>
          <xdr:col>3</xdr:col>
          <xdr:colOff>2638425</xdr:colOff>
          <xdr:row>15</xdr:row>
          <xdr:rowOff>381000</xdr:rowOff>
        </xdr:to>
        <xdr:sp macro="" textlink="">
          <xdr:nvSpPr>
            <xdr:cNvPr id="34831" name="Group Box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5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16</xdr:row>
          <xdr:rowOff>209550</xdr:rowOff>
        </xdr:from>
        <xdr:to>
          <xdr:col>3</xdr:col>
          <xdr:colOff>1181100</xdr:colOff>
          <xdr:row>17</xdr:row>
          <xdr:rowOff>9525</xdr:rowOff>
        </xdr:to>
        <xdr:sp macro="" textlink="">
          <xdr:nvSpPr>
            <xdr:cNvPr id="34832" name="B_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5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17</xdr:row>
          <xdr:rowOff>38100</xdr:rowOff>
        </xdr:from>
        <xdr:to>
          <xdr:col>3</xdr:col>
          <xdr:colOff>1181100</xdr:colOff>
          <xdr:row>17</xdr:row>
          <xdr:rowOff>247650</xdr:rowOff>
        </xdr:to>
        <xdr:sp macro="" textlink="">
          <xdr:nvSpPr>
            <xdr:cNvPr id="34833" name="B_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5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 (1.75)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16</xdr:row>
          <xdr:rowOff>104775</xdr:rowOff>
        </xdr:from>
        <xdr:to>
          <xdr:col>3</xdr:col>
          <xdr:colOff>2638425</xdr:colOff>
          <xdr:row>17</xdr:row>
          <xdr:rowOff>361950</xdr:rowOff>
        </xdr:to>
        <xdr:sp macro="" textlink="">
          <xdr:nvSpPr>
            <xdr:cNvPr id="34835" name="Group Box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5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18</xdr:row>
          <xdr:rowOff>219075</xdr:rowOff>
        </xdr:from>
        <xdr:to>
          <xdr:col>3</xdr:col>
          <xdr:colOff>1181100</xdr:colOff>
          <xdr:row>18</xdr:row>
          <xdr:rowOff>323850</xdr:rowOff>
        </xdr:to>
        <xdr:sp macro="" textlink="">
          <xdr:nvSpPr>
            <xdr:cNvPr id="34839" name="B_20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5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&lt;50 °C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18</xdr:row>
          <xdr:rowOff>342900</xdr:rowOff>
        </xdr:from>
        <xdr:to>
          <xdr:col>3</xdr:col>
          <xdr:colOff>1181100</xdr:colOff>
          <xdr:row>18</xdr:row>
          <xdr:rowOff>581025</xdr:rowOff>
        </xdr:to>
        <xdr:sp macro="" textlink="">
          <xdr:nvSpPr>
            <xdr:cNvPr id="34840" name="B_21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5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50-100 °C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18</xdr:row>
          <xdr:rowOff>600075</xdr:rowOff>
        </xdr:from>
        <xdr:to>
          <xdr:col>3</xdr:col>
          <xdr:colOff>1181100</xdr:colOff>
          <xdr:row>18</xdr:row>
          <xdr:rowOff>742950</xdr:rowOff>
        </xdr:to>
        <xdr:sp macro="" textlink="">
          <xdr:nvSpPr>
            <xdr:cNvPr id="34841" name="B_22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5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&gt;150 °C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18</xdr:row>
          <xdr:rowOff>76200</xdr:rowOff>
        </xdr:from>
        <xdr:to>
          <xdr:col>3</xdr:col>
          <xdr:colOff>2638425</xdr:colOff>
          <xdr:row>18</xdr:row>
          <xdr:rowOff>819150</xdr:rowOff>
        </xdr:to>
        <xdr:sp macro="" textlink="">
          <xdr:nvSpPr>
            <xdr:cNvPr id="34842" name="Group Box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5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19</xdr:row>
          <xdr:rowOff>171450</xdr:rowOff>
        </xdr:from>
        <xdr:to>
          <xdr:col>3</xdr:col>
          <xdr:colOff>1190625</xdr:colOff>
          <xdr:row>20</xdr:row>
          <xdr:rowOff>66675</xdr:rowOff>
        </xdr:to>
        <xdr:sp macro="" textlink="">
          <xdr:nvSpPr>
            <xdr:cNvPr id="34843" name="B_23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5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baja (como agua)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20</xdr:row>
          <xdr:rowOff>57150</xdr:rowOff>
        </xdr:from>
        <xdr:to>
          <xdr:col>3</xdr:col>
          <xdr:colOff>1685925</xdr:colOff>
          <xdr:row>20</xdr:row>
          <xdr:rowOff>276225</xdr:rowOff>
        </xdr:to>
        <xdr:sp macro="" textlink="">
          <xdr:nvSpPr>
            <xdr:cNvPr id="34844" name="B_24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5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mediana (como aceite) (1,75)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20</xdr:row>
          <xdr:rowOff>285750</xdr:rowOff>
        </xdr:from>
        <xdr:to>
          <xdr:col>3</xdr:col>
          <xdr:colOff>1685925</xdr:colOff>
          <xdr:row>21</xdr:row>
          <xdr:rowOff>171450</xdr:rowOff>
        </xdr:to>
        <xdr:sp macro="" textlink="">
          <xdr:nvSpPr>
            <xdr:cNvPr id="34845" name="B_25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5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alta (como resina o pasta)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19</xdr:row>
          <xdr:rowOff>57150</xdr:rowOff>
        </xdr:from>
        <xdr:to>
          <xdr:col>3</xdr:col>
          <xdr:colOff>2638425</xdr:colOff>
          <xdr:row>21</xdr:row>
          <xdr:rowOff>238125</xdr:rowOff>
        </xdr:to>
        <xdr:sp macro="" textlink="">
          <xdr:nvSpPr>
            <xdr:cNvPr id="34846" name="Group Box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5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22</xdr:row>
      <xdr:rowOff>157145</xdr:rowOff>
    </xdr:from>
    <xdr:to>
      <xdr:col>1</xdr:col>
      <xdr:colOff>439976</xdr:colOff>
      <xdr:row>23</xdr:row>
      <xdr:rowOff>55037</xdr:rowOff>
    </xdr:to>
    <xdr:sp macro="" textlink="">
      <xdr:nvSpPr>
        <xdr:cNvPr id="63" name="Flecha: a la derecha 6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 flipH="1">
          <a:off x="1385455" y="7569327"/>
          <a:ext cx="439976" cy="209619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158532</xdr:colOff>
      <xdr:row>22</xdr:row>
      <xdr:rowOff>128588</xdr:rowOff>
    </xdr:from>
    <xdr:to>
      <xdr:col>2</xdr:col>
      <xdr:colOff>1139607</xdr:colOff>
      <xdr:row>23</xdr:row>
      <xdr:rowOff>69532</xdr:rowOff>
    </xdr:to>
    <xdr:sp macro="[0]!CleanAgent.CleanAgent" textlink="">
      <xdr:nvSpPr>
        <xdr:cNvPr id="61" name="Rectángulo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2307372" y="7840028"/>
          <a:ext cx="981075" cy="260984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000"/>
            <a:t>Limpiar</a:t>
          </a:r>
          <a:r>
            <a:rPr lang="es-ES" sz="1000" baseline="0"/>
            <a:t> datos</a:t>
          </a:r>
          <a:endParaRPr lang="es-ES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1657350</xdr:colOff>
          <xdr:row>11</xdr:row>
          <xdr:rowOff>180975</xdr:rowOff>
        </xdr:from>
        <xdr:to>
          <xdr:col>3</xdr:col>
          <xdr:colOff>2371725</xdr:colOff>
          <xdr:row>12</xdr:row>
          <xdr:rowOff>57150</xdr:rowOff>
        </xdr:to>
        <xdr:sp macro="" textlink="">
          <xdr:nvSpPr>
            <xdr:cNvPr id="34849" name="B_26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5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1657350</xdr:colOff>
          <xdr:row>14</xdr:row>
          <xdr:rowOff>190500</xdr:rowOff>
        </xdr:from>
        <xdr:to>
          <xdr:col>3</xdr:col>
          <xdr:colOff>2362200</xdr:colOff>
          <xdr:row>14</xdr:row>
          <xdr:rowOff>400050</xdr:rowOff>
        </xdr:to>
        <xdr:sp macro="" textlink="">
          <xdr:nvSpPr>
            <xdr:cNvPr id="34850" name="B_27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5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1657350</xdr:colOff>
          <xdr:row>16</xdr:row>
          <xdr:rowOff>200025</xdr:rowOff>
        </xdr:from>
        <xdr:to>
          <xdr:col>3</xdr:col>
          <xdr:colOff>2409825</xdr:colOff>
          <xdr:row>16</xdr:row>
          <xdr:rowOff>409575</xdr:rowOff>
        </xdr:to>
        <xdr:sp macro="" textlink="">
          <xdr:nvSpPr>
            <xdr:cNvPr id="34851" name="B_28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5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1657350</xdr:colOff>
          <xdr:row>18</xdr:row>
          <xdr:rowOff>133350</xdr:rowOff>
        </xdr:from>
        <xdr:to>
          <xdr:col>3</xdr:col>
          <xdr:colOff>2362200</xdr:colOff>
          <xdr:row>18</xdr:row>
          <xdr:rowOff>342900</xdr:rowOff>
        </xdr:to>
        <xdr:sp macro="" textlink="">
          <xdr:nvSpPr>
            <xdr:cNvPr id="34852" name="B_29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5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1657350</xdr:colOff>
          <xdr:row>19</xdr:row>
          <xdr:rowOff>161925</xdr:rowOff>
        </xdr:from>
        <xdr:to>
          <xdr:col>3</xdr:col>
          <xdr:colOff>2362200</xdr:colOff>
          <xdr:row>20</xdr:row>
          <xdr:rowOff>57150</xdr:rowOff>
        </xdr:to>
        <xdr:sp macro="" textlink="">
          <xdr:nvSpPr>
            <xdr:cNvPr id="34853" name="B_30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5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Aplica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1</xdr:row>
      <xdr:rowOff>190047</xdr:rowOff>
    </xdr:from>
    <xdr:to>
      <xdr:col>0</xdr:col>
      <xdr:colOff>1013459</xdr:colOff>
      <xdr:row>12</xdr:row>
      <xdr:rowOff>115206</xdr:rowOff>
    </xdr:to>
    <xdr:grpSp>
      <xdr:nvGrpSpPr>
        <xdr:cNvPr id="56" name="Grupo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GrpSpPr/>
      </xdr:nvGrpSpPr>
      <xdr:grpSpPr>
        <a:xfrm>
          <a:off x="0" y="380547"/>
          <a:ext cx="1013459" cy="2944584"/>
          <a:chOff x="0" y="365760"/>
          <a:chExt cx="1013459" cy="2953633"/>
        </a:xfrm>
      </xdr:grpSpPr>
      <xdr:sp macro="" textlink="">
        <xdr:nvSpPr>
          <xdr:cNvPr id="57" name="Redondear rectángulo de esquina del mismo lado 3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500-000039000000}"/>
              </a:ext>
            </a:extLst>
          </xdr:cNvPr>
          <xdr:cNvSpPr/>
        </xdr:nvSpPr>
        <xdr:spPr>
          <a:xfrm rot="5400000">
            <a:off x="378655" y="-12895"/>
            <a:ext cx="256150" cy="1013459"/>
          </a:xfrm>
          <a:prstGeom prst="round2SameRect">
            <a:avLst/>
          </a:prstGeom>
          <a:solidFill>
            <a:schemeClr val="accent3">
              <a:lumMod val="40000"/>
              <a:lumOff val="6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1.</a:t>
            </a:r>
            <a:r>
              <a:rPr lang="en-US" sz="1000" baseline="0">
                <a:solidFill>
                  <a:sysClr val="windowText" lastClr="000000"/>
                </a:solidFill>
              </a:rPr>
              <a:t> Empresa</a:t>
            </a:r>
            <a:endParaRPr 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58" name="Redondear rectángulo de esquina del mismo lado 3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500-00003A000000}"/>
              </a:ext>
            </a:extLst>
          </xdr:cNvPr>
          <xdr:cNvSpPr/>
        </xdr:nvSpPr>
        <xdr:spPr>
          <a:xfrm rot="5400000">
            <a:off x="378654" y="474787"/>
            <a:ext cx="256152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3.</a:t>
            </a:r>
            <a:r>
              <a:rPr lang="en-US" sz="1000" baseline="0">
                <a:solidFill>
                  <a:sysClr val="windowText" lastClr="000000"/>
                </a:solidFill>
              </a:rPr>
              <a:t> Puesto</a:t>
            </a:r>
            <a:endParaRPr 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59" name="Redondear rectángulo de esquina del mismo lado 3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3B000000}"/>
              </a:ext>
            </a:extLst>
          </xdr:cNvPr>
          <xdr:cNvSpPr/>
        </xdr:nvSpPr>
        <xdr:spPr>
          <a:xfrm rot="5400000">
            <a:off x="378655" y="718625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4.</a:t>
            </a:r>
            <a:r>
              <a:rPr lang="en-US" sz="1000" baseline="0">
                <a:solidFill>
                  <a:sysClr val="windowText" lastClr="000000"/>
                </a:solidFill>
              </a:rPr>
              <a:t> Tarea</a:t>
            </a:r>
            <a:endParaRPr 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0" name="Redondear rectángulo de esquina del mismo lado 33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500-00003C000000}"/>
              </a:ext>
            </a:extLst>
          </xdr:cNvPr>
          <xdr:cNvSpPr/>
        </xdr:nvSpPr>
        <xdr:spPr>
          <a:xfrm rot="5400000">
            <a:off x="378655" y="962467"/>
            <a:ext cx="256150" cy="1013459"/>
          </a:xfrm>
          <a:prstGeom prst="round2SameRect">
            <a:avLst/>
          </a:prstGeom>
          <a:solidFill>
            <a:schemeClr val="bg2">
              <a:lumMod val="5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chemeClr val="bg1"/>
                </a:solidFill>
              </a:rPr>
              <a:t>5. Agente</a:t>
            </a:r>
          </a:p>
        </xdr:txBody>
      </xdr:sp>
      <xdr:sp macro="" textlink="">
        <xdr:nvSpPr>
          <xdr:cNvPr id="62" name="Redondear rectángulo de esquina del mismo lado 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500-00003E000000}"/>
              </a:ext>
            </a:extLst>
          </xdr:cNvPr>
          <xdr:cNvSpPr/>
        </xdr:nvSpPr>
        <xdr:spPr>
          <a:xfrm rot="5400000">
            <a:off x="378655" y="1206305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6. Exposición</a:t>
            </a:r>
          </a:p>
        </xdr:txBody>
      </xdr:sp>
      <xdr:sp macro="" textlink="">
        <xdr:nvSpPr>
          <xdr:cNvPr id="64" name="Redondear rectángulo de esquina del mismo lado 3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500-000040000000}"/>
              </a:ext>
            </a:extLst>
          </xdr:cNvPr>
          <xdr:cNvSpPr/>
        </xdr:nvSpPr>
        <xdr:spPr>
          <a:xfrm rot="5400000">
            <a:off x="378655" y="1450147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Emisión</a:t>
            </a:r>
          </a:p>
        </xdr:txBody>
      </xdr:sp>
      <xdr:sp macro="" textlink="">
        <xdr:nvSpPr>
          <xdr:cNvPr id="65" name="Redondear rectángulo de esquina del mismo lado 3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41000000}"/>
              </a:ext>
            </a:extLst>
          </xdr:cNvPr>
          <xdr:cNvSpPr/>
        </xdr:nvSpPr>
        <xdr:spPr>
          <a:xfrm rot="5400000">
            <a:off x="378655" y="1693985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Deposición</a:t>
            </a:r>
          </a:p>
        </xdr:txBody>
      </xdr:sp>
      <xdr:sp macro="" textlink="">
        <xdr:nvSpPr>
          <xdr:cNvPr id="66" name="Redondear rectángulo de esquina del mismo lado 37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500-000042000000}"/>
              </a:ext>
            </a:extLst>
          </xdr:cNvPr>
          <xdr:cNvSpPr/>
        </xdr:nvSpPr>
        <xdr:spPr>
          <a:xfrm rot="5400000">
            <a:off x="378655" y="1937827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Transferencia</a:t>
            </a:r>
          </a:p>
        </xdr:txBody>
      </xdr:sp>
      <xdr:sp macro="" textlink="">
        <xdr:nvSpPr>
          <xdr:cNvPr id="67" name="Redondear rectángulo de esquina del mismo lado 3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500-000043000000}"/>
              </a:ext>
            </a:extLst>
          </xdr:cNvPr>
          <xdr:cNvSpPr/>
        </xdr:nvSpPr>
        <xdr:spPr>
          <a:xfrm rot="5400000">
            <a:off x="378655" y="2181669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Guantes</a:t>
            </a:r>
          </a:p>
        </xdr:txBody>
      </xdr:sp>
      <xdr:sp macro="" textlink="">
        <xdr:nvSpPr>
          <xdr:cNvPr id="68" name="Redondear rectángulo de esquina del mismo lado 3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500-000044000000}"/>
              </a:ext>
            </a:extLst>
          </xdr:cNvPr>
          <xdr:cNvSpPr/>
        </xdr:nvSpPr>
        <xdr:spPr>
          <a:xfrm rot="5400000">
            <a:off x="378655" y="2425507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Ropa</a:t>
            </a:r>
          </a:p>
        </xdr:txBody>
      </xdr:sp>
      <xdr:sp macro="" textlink="">
        <xdr:nvSpPr>
          <xdr:cNvPr id="69" name="Redondear rectángulo de esquina del mismo lado 4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500-000045000000}"/>
              </a:ext>
            </a:extLst>
          </xdr:cNvPr>
          <xdr:cNvSpPr/>
        </xdr:nvSpPr>
        <xdr:spPr>
          <a:xfrm rot="5400000">
            <a:off x="378655" y="230947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2.</a:t>
            </a:r>
            <a:r>
              <a:rPr lang="en-US" sz="1000" baseline="0">
                <a:solidFill>
                  <a:sysClr val="windowText" lastClr="000000"/>
                </a:solidFill>
              </a:rPr>
              <a:t> Departamento</a:t>
            </a:r>
            <a:endParaRPr lang="en-US" sz="1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0" name="Redondear rectángulo de esquina del mismo lado 4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500-000046000000}"/>
              </a:ext>
            </a:extLst>
          </xdr:cNvPr>
          <xdr:cNvSpPr/>
        </xdr:nvSpPr>
        <xdr:spPr>
          <a:xfrm rot="5400000">
            <a:off x="378655" y="2684588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Resultados</a:t>
            </a:r>
          </a:p>
        </xdr:txBody>
      </xdr:sp>
    </xdr:grpSp>
    <xdr:clientData/>
  </xdr:twoCellAnchor>
  <xdr:twoCellAnchor>
    <xdr:from>
      <xdr:col>3</xdr:col>
      <xdr:colOff>2303318</xdr:colOff>
      <xdr:row>22</xdr:row>
      <xdr:rowOff>152988</xdr:rowOff>
    </xdr:from>
    <xdr:to>
      <xdr:col>4</xdr:col>
      <xdr:colOff>24340</xdr:colOff>
      <xdr:row>23</xdr:row>
      <xdr:rowOff>59193</xdr:rowOff>
    </xdr:to>
    <xdr:sp macro="" textlink="">
      <xdr:nvSpPr>
        <xdr:cNvPr id="50" name="Flecha: a la derecha 4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>
          <a:off x="6745432" y="7565170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9</xdr:row>
          <xdr:rowOff>95250</xdr:rowOff>
        </xdr:from>
        <xdr:to>
          <xdr:col>4</xdr:col>
          <xdr:colOff>571500</xdr:colOff>
          <xdr:row>9</xdr:row>
          <xdr:rowOff>295275</xdr:rowOff>
        </xdr:to>
        <xdr:sp macro="" textlink="">
          <xdr:nvSpPr>
            <xdr:cNvPr id="11265" name="B_15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819150</xdr:colOff>
          <xdr:row>9</xdr:row>
          <xdr:rowOff>95250</xdr:rowOff>
        </xdr:from>
        <xdr:to>
          <xdr:col>4</xdr:col>
          <xdr:colOff>1038225</xdr:colOff>
          <xdr:row>9</xdr:row>
          <xdr:rowOff>285750</xdr:rowOff>
        </xdr:to>
        <xdr:sp macro="" textlink="">
          <xdr:nvSpPr>
            <xdr:cNvPr id="11266" name="B_16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9</xdr:row>
          <xdr:rowOff>28575</xdr:rowOff>
        </xdr:from>
        <xdr:to>
          <xdr:col>4</xdr:col>
          <xdr:colOff>1314450</xdr:colOff>
          <xdr:row>9</xdr:row>
          <xdr:rowOff>361950</xdr:rowOff>
        </xdr:to>
        <xdr:sp macro="" textlink="">
          <xdr:nvSpPr>
            <xdr:cNvPr id="11267" name="Group Box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6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E_HE1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123825</xdr:rowOff>
        </xdr:from>
        <xdr:to>
          <xdr:col>4</xdr:col>
          <xdr:colOff>571500</xdr:colOff>
          <xdr:row>10</xdr:row>
          <xdr:rowOff>323850</xdr:rowOff>
        </xdr:to>
        <xdr:sp macro="" textlink="">
          <xdr:nvSpPr>
            <xdr:cNvPr id="11268" name="B_17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6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819150</xdr:colOff>
          <xdr:row>10</xdr:row>
          <xdr:rowOff>104775</xdr:rowOff>
        </xdr:from>
        <xdr:to>
          <xdr:col>4</xdr:col>
          <xdr:colOff>1133475</xdr:colOff>
          <xdr:row>10</xdr:row>
          <xdr:rowOff>314325</xdr:rowOff>
        </xdr:to>
        <xdr:sp macro="" textlink="">
          <xdr:nvSpPr>
            <xdr:cNvPr id="11269" name="B_18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6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10</xdr:row>
          <xdr:rowOff>66675</xdr:rowOff>
        </xdr:from>
        <xdr:to>
          <xdr:col>4</xdr:col>
          <xdr:colOff>1304925</xdr:colOff>
          <xdr:row>10</xdr:row>
          <xdr:rowOff>323850</xdr:rowOff>
        </xdr:to>
        <xdr:sp macro="" textlink="">
          <xdr:nvSpPr>
            <xdr:cNvPr id="11270" name="Group Box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6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E_UA1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</xdr:row>
          <xdr:rowOff>228600</xdr:rowOff>
        </xdr:from>
        <xdr:to>
          <xdr:col>4</xdr:col>
          <xdr:colOff>695325</xdr:colOff>
          <xdr:row>3</xdr:row>
          <xdr:rowOff>428625</xdr:rowOff>
        </xdr:to>
        <xdr:sp macro="" textlink="">
          <xdr:nvSpPr>
            <xdr:cNvPr id="11271" name="B_1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6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Improbable (&lt;1% de la tarea) [ir a 2] (0)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</xdr:row>
          <xdr:rowOff>400050</xdr:rowOff>
        </xdr:from>
        <xdr:to>
          <xdr:col>4</xdr:col>
          <xdr:colOff>809625</xdr:colOff>
          <xdr:row>3</xdr:row>
          <xdr:rowOff>590550</xdr:rowOff>
        </xdr:to>
        <xdr:sp macro="" textlink="">
          <xdr:nvSpPr>
            <xdr:cNvPr id="11272" name="B_2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6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Ocasionalmente (&lt;10% de la tarea)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</xdr:row>
          <xdr:rowOff>552450</xdr:rowOff>
        </xdr:from>
        <xdr:to>
          <xdr:col>4</xdr:col>
          <xdr:colOff>904875</xdr:colOff>
          <xdr:row>3</xdr:row>
          <xdr:rowOff>762000</xdr:rowOff>
        </xdr:to>
        <xdr:sp macro="" textlink="">
          <xdr:nvSpPr>
            <xdr:cNvPr id="11273" name="B_3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6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Repetitivamente (10-50% de la tarea)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3</xdr:row>
          <xdr:rowOff>733425</xdr:rowOff>
        </xdr:from>
        <xdr:to>
          <xdr:col>4</xdr:col>
          <xdr:colOff>1066800</xdr:colOff>
          <xdr:row>3</xdr:row>
          <xdr:rowOff>923925</xdr:rowOff>
        </xdr:to>
        <xdr:sp macro="" textlink="">
          <xdr:nvSpPr>
            <xdr:cNvPr id="11274" name="B_4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6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 constantemente (≥50% de la tarea) (10)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3</xdr:row>
          <xdr:rowOff>57150</xdr:rowOff>
        </xdr:from>
        <xdr:to>
          <xdr:col>4</xdr:col>
          <xdr:colOff>1323975</xdr:colOff>
          <xdr:row>3</xdr:row>
          <xdr:rowOff>971550</xdr:rowOff>
        </xdr:to>
        <xdr:sp macro="" textlink="">
          <xdr:nvSpPr>
            <xdr:cNvPr id="11275" name="Group Box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6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P_E.HA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</xdr:row>
          <xdr:rowOff>57150</xdr:rowOff>
        </xdr:from>
        <xdr:to>
          <xdr:col>4</xdr:col>
          <xdr:colOff>1323975</xdr:colOff>
          <xdr:row>4</xdr:row>
          <xdr:rowOff>819150</xdr:rowOff>
        </xdr:to>
        <xdr:sp macro="" textlink="">
          <xdr:nvSpPr>
            <xdr:cNvPr id="11281" name="Group Box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6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I_E.HA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</xdr:row>
          <xdr:rowOff>95250</xdr:rowOff>
        </xdr:from>
        <xdr:to>
          <xdr:col>4</xdr:col>
          <xdr:colOff>1323975</xdr:colOff>
          <xdr:row>5</xdr:row>
          <xdr:rowOff>857250</xdr:rowOff>
        </xdr:to>
        <xdr:sp macro="" textlink="">
          <xdr:nvSpPr>
            <xdr:cNvPr id="11287" name="Group Box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6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P_E.BP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171450</xdr:rowOff>
        </xdr:from>
        <xdr:to>
          <xdr:col>4</xdr:col>
          <xdr:colOff>742950</xdr:colOff>
          <xdr:row>5</xdr:row>
          <xdr:rowOff>390525</xdr:rowOff>
        </xdr:to>
        <xdr:sp macro="" textlink="">
          <xdr:nvSpPr>
            <xdr:cNvPr id="11290" name="B_8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6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Improbable (&lt;1% de la tarea) [ir a 3] (0)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304800</xdr:rowOff>
        </xdr:from>
        <xdr:to>
          <xdr:col>4</xdr:col>
          <xdr:colOff>1038225</xdr:colOff>
          <xdr:row>5</xdr:row>
          <xdr:rowOff>533400</xdr:rowOff>
        </xdr:to>
        <xdr:sp macro="" textlink="">
          <xdr:nvSpPr>
            <xdr:cNvPr id="11291" name="B_9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6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Ocasionalmente (&lt;10% de la tarea)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457200</xdr:rowOff>
        </xdr:from>
        <xdr:to>
          <xdr:col>4</xdr:col>
          <xdr:colOff>866775</xdr:colOff>
          <xdr:row>5</xdr:row>
          <xdr:rowOff>685800</xdr:rowOff>
        </xdr:to>
        <xdr:sp macro="" textlink="">
          <xdr:nvSpPr>
            <xdr:cNvPr id="11292" name="B_10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Repetidamente (10-50% de la tarea)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5</xdr:row>
          <xdr:rowOff>609600</xdr:rowOff>
        </xdr:from>
        <xdr:to>
          <xdr:col>4</xdr:col>
          <xdr:colOff>1095375</xdr:colOff>
          <xdr:row>5</xdr:row>
          <xdr:rowOff>838200</xdr:rowOff>
        </xdr:to>
        <xdr:sp macro="" textlink="">
          <xdr:nvSpPr>
            <xdr:cNvPr id="11293" name="B_11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6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 constantemente (≥50% de la tarea) (10)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6</xdr:row>
          <xdr:rowOff>57150</xdr:rowOff>
        </xdr:from>
        <xdr:to>
          <xdr:col>4</xdr:col>
          <xdr:colOff>1323975</xdr:colOff>
          <xdr:row>6</xdr:row>
          <xdr:rowOff>819150</xdr:rowOff>
        </xdr:to>
        <xdr:sp macro="" textlink="">
          <xdr:nvSpPr>
            <xdr:cNvPr id="11294" name="Group Box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I_E.BP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209550</xdr:rowOff>
        </xdr:from>
        <xdr:to>
          <xdr:col>4</xdr:col>
          <xdr:colOff>1285875</xdr:colOff>
          <xdr:row>6</xdr:row>
          <xdr:rowOff>428625</xdr:rowOff>
        </xdr:to>
        <xdr:sp macro="" textlink="">
          <xdr:nvSpPr>
            <xdr:cNvPr id="11295" name="B_12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pequeña (&lt;10% de parte(s) del cuerpo)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381000</xdr:rowOff>
        </xdr:from>
        <xdr:to>
          <xdr:col>4</xdr:col>
          <xdr:colOff>1266825</xdr:colOff>
          <xdr:row>6</xdr:row>
          <xdr:rowOff>600075</xdr:rowOff>
        </xdr:to>
        <xdr:sp macro="" textlink="">
          <xdr:nvSpPr>
            <xdr:cNvPr id="11296" name="B_13" hidden="1">
              <a:extLst>
                <a:ext uri="{63B3BB69-23CF-44E3-9099-C40C66FF867C}">
                  <a14:compatExt spid="_x0000_s11296"/>
                </a:ext>
                <a:ext uri="{FF2B5EF4-FFF2-40B4-BE49-F238E27FC236}">
                  <a16:creationId xmlns:a16="http://schemas.microsoft.com/office/drawing/2014/main" id="{00000000-0008-0000-0600-00002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Mediana cantidad (10-50% de parte(s) del cuerpo)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11</xdr:row>
          <xdr:rowOff>66675</xdr:rowOff>
        </xdr:from>
        <xdr:to>
          <xdr:col>4</xdr:col>
          <xdr:colOff>1314450</xdr:colOff>
          <xdr:row>11</xdr:row>
          <xdr:rowOff>400050</xdr:rowOff>
        </xdr:to>
        <xdr:sp macro="" textlink="">
          <xdr:nvSpPr>
            <xdr:cNvPr id="11298" name="Group Box 34" hidden="1">
              <a:extLst>
                <a:ext uri="{63B3BB69-23CF-44E3-9099-C40C66FF867C}">
                  <a14:compatExt spid="_x0000_s11298"/>
                </a:ext>
                <a:ext uri="{FF2B5EF4-FFF2-40B4-BE49-F238E27FC236}">
                  <a16:creationId xmlns:a16="http://schemas.microsoft.com/office/drawing/2014/main" id="{00000000-0008-0000-0600-00002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E_FA1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12</xdr:row>
          <xdr:rowOff>47625</xdr:rowOff>
        </xdr:from>
        <xdr:to>
          <xdr:col>4</xdr:col>
          <xdr:colOff>1314450</xdr:colOff>
          <xdr:row>12</xdr:row>
          <xdr:rowOff>371475</xdr:rowOff>
        </xdr:to>
        <xdr:sp macro="" textlink="">
          <xdr:nvSpPr>
            <xdr:cNvPr id="11300" name="Group Box 36" hidden="1">
              <a:extLst>
                <a:ext uri="{63B3BB69-23CF-44E3-9099-C40C66FF867C}">
                  <a14:compatExt spid="_x0000_s11300"/>
                </a:ext>
                <a:ext uri="{FF2B5EF4-FFF2-40B4-BE49-F238E27FC236}">
                  <a16:creationId xmlns:a16="http://schemas.microsoft.com/office/drawing/2014/main" id="{00000000-0008-0000-0600-00002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E_TF1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13</xdr:row>
          <xdr:rowOff>57150</xdr:rowOff>
        </xdr:from>
        <xdr:to>
          <xdr:col>4</xdr:col>
          <xdr:colOff>1314450</xdr:colOff>
          <xdr:row>13</xdr:row>
          <xdr:rowOff>390525</xdr:rowOff>
        </xdr:to>
        <xdr:sp macro="" textlink="">
          <xdr:nvSpPr>
            <xdr:cNvPr id="11301" name="Group Box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6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E_TB1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14</xdr:row>
          <xdr:rowOff>66675</xdr:rowOff>
        </xdr:from>
        <xdr:to>
          <xdr:col>4</xdr:col>
          <xdr:colOff>1314450</xdr:colOff>
          <xdr:row>14</xdr:row>
          <xdr:rowOff>400050</xdr:rowOff>
        </xdr:to>
        <xdr:sp macro="" textlink="">
          <xdr:nvSpPr>
            <xdr:cNvPr id="11302" name="Group Box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6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E_LB1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15</xdr:row>
          <xdr:rowOff>76200</xdr:rowOff>
        </xdr:from>
        <xdr:to>
          <xdr:col>4</xdr:col>
          <xdr:colOff>1314450</xdr:colOff>
          <xdr:row>15</xdr:row>
          <xdr:rowOff>400050</xdr:rowOff>
        </xdr:to>
        <xdr:sp macro="" textlink="">
          <xdr:nvSpPr>
            <xdr:cNvPr id="11303" name="Group Box 39" hidden="1">
              <a:extLst>
                <a:ext uri="{63B3BB69-23CF-44E3-9099-C40C66FF867C}">
                  <a14:compatExt spid="_x0000_s11303"/>
                </a:ext>
                <a:ext uri="{FF2B5EF4-FFF2-40B4-BE49-F238E27FC236}">
                  <a16:creationId xmlns:a16="http://schemas.microsoft.com/office/drawing/2014/main" id="{00000000-0008-0000-0600-00002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E_LL1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133350</xdr:rowOff>
        </xdr:from>
        <xdr:to>
          <xdr:col>4</xdr:col>
          <xdr:colOff>704850</xdr:colOff>
          <xdr:row>11</xdr:row>
          <xdr:rowOff>361950</xdr:rowOff>
        </xdr:to>
        <xdr:sp macro="" textlink="">
          <xdr:nvSpPr>
            <xdr:cNvPr id="11311" name="B_19" hidden="1">
              <a:extLst>
                <a:ext uri="{63B3BB69-23CF-44E3-9099-C40C66FF867C}">
                  <a14:compatExt spid="_x0000_s11311"/>
                </a:ext>
                <a:ext uri="{FF2B5EF4-FFF2-40B4-BE49-F238E27FC236}">
                  <a16:creationId xmlns:a16="http://schemas.microsoft.com/office/drawing/2014/main" id="{00000000-0008-0000-0600-00002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828675</xdr:colOff>
          <xdr:row>11</xdr:row>
          <xdr:rowOff>133350</xdr:rowOff>
        </xdr:from>
        <xdr:to>
          <xdr:col>4</xdr:col>
          <xdr:colOff>1200150</xdr:colOff>
          <xdr:row>11</xdr:row>
          <xdr:rowOff>352425</xdr:rowOff>
        </xdr:to>
        <xdr:sp macro="" textlink="">
          <xdr:nvSpPr>
            <xdr:cNvPr id="11312" name="B_20" hidden="1">
              <a:extLst>
                <a:ext uri="{63B3BB69-23CF-44E3-9099-C40C66FF867C}">
                  <a14:compatExt spid="_x0000_s11312"/>
                </a:ext>
                <a:ext uri="{FF2B5EF4-FFF2-40B4-BE49-F238E27FC236}">
                  <a16:creationId xmlns:a16="http://schemas.microsoft.com/office/drawing/2014/main" id="{00000000-0008-0000-0600-00003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104775</xdr:rowOff>
        </xdr:from>
        <xdr:to>
          <xdr:col>4</xdr:col>
          <xdr:colOff>609600</xdr:colOff>
          <xdr:row>12</xdr:row>
          <xdr:rowOff>323850</xdr:rowOff>
        </xdr:to>
        <xdr:sp macro="" textlink="">
          <xdr:nvSpPr>
            <xdr:cNvPr id="11320" name="B_21" hidden="1">
              <a:extLst>
                <a:ext uri="{63B3BB69-23CF-44E3-9099-C40C66FF867C}">
                  <a14:compatExt spid="_x0000_s11320"/>
                </a:ext>
                <a:ext uri="{FF2B5EF4-FFF2-40B4-BE49-F238E27FC236}">
                  <a16:creationId xmlns:a16="http://schemas.microsoft.com/office/drawing/2014/main" id="{00000000-0008-0000-0600-00003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847725</xdr:colOff>
          <xdr:row>12</xdr:row>
          <xdr:rowOff>114300</xdr:rowOff>
        </xdr:from>
        <xdr:to>
          <xdr:col>4</xdr:col>
          <xdr:colOff>1085850</xdr:colOff>
          <xdr:row>12</xdr:row>
          <xdr:rowOff>323850</xdr:rowOff>
        </xdr:to>
        <xdr:sp macro="" textlink="">
          <xdr:nvSpPr>
            <xdr:cNvPr id="11322" name="B_22" hidden="1">
              <a:extLst>
                <a:ext uri="{63B3BB69-23CF-44E3-9099-C40C66FF867C}">
                  <a14:compatExt spid="_x0000_s11322"/>
                </a:ext>
                <a:ext uri="{FF2B5EF4-FFF2-40B4-BE49-F238E27FC236}">
                  <a16:creationId xmlns:a16="http://schemas.microsoft.com/office/drawing/2014/main" id="{00000000-0008-0000-0600-00003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13</xdr:row>
          <xdr:rowOff>133350</xdr:rowOff>
        </xdr:from>
        <xdr:to>
          <xdr:col>4</xdr:col>
          <xdr:colOff>657225</xdr:colOff>
          <xdr:row>13</xdr:row>
          <xdr:rowOff>352425</xdr:rowOff>
        </xdr:to>
        <xdr:sp macro="" textlink="">
          <xdr:nvSpPr>
            <xdr:cNvPr id="11323" name="B_23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00000000-0008-0000-0600-00003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847725</xdr:colOff>
          <xdr:row>13</xdr:row>
          <xdr:rowOff>133350</xdr:rowOff>
        </xdr:from>
        <xdr:to>
          <xdr:col>4</xdr:col>
          <xdr:colOff>1114425</xdr:colOff>
          <xdr:row>13</xdr:row>
          <xdr:rowOff>342900</xdr:rowOff>
        </xdr:to>
        <xdr:sp macro="" textlink="">
          <xdr:nvSpPr>
            <xdr:cNvPr id="11324" name="B_24" hidden="1">
              <a:extLst>
                <a:ext uri="{63B3BB69-23CF-44E3-9099-C40C66FF867C}">
                  <a14:compatExt spid="_x0000_s11324"/>
                </a:ext>
                <a:ext uri="{FF2B5EF4-FFF2-40B4-BE49-F238E27FC236}">
                  <a16:creationId xmlns:a16="http://schemas.microsoft.com/office/drawing/2014/main" id="{00000000-0008-0000-0600-00003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14</xdr:row>
          <xdr:rowOff>123825</xdr:rowOff>
        </xdr:from>
        <xdr:to>
          <xdr:col>4</xdr:col>
          <xdr:colOff>657225</xdr:colOff>
          <xdr:row>14</xdr:row>
          <xdr:rowOff>342900</xdr:rowOff>
        </xdr:to>
        <xdr:sp macro="" textlink="">
          <xdr:nvSpPr>
            <xdr:cNvPr id="11327" name="B_25" hidden="1">
              <a:extLst>
                <a:ext uri="{63B3BB69-23CF-44E3-9099-C40C66FF867C}">
                  <a14:compatExt spid="_x0000_s11327"/>
                </a:ext>
                <a:ext uri="{FF2B5EF4-FFF2-40B4-BE49-F238E27FC236}">
                  <a16:creationId xmlns:a16="http://schemas.microsoft.com/office/drawing/2014/main" id="{00000000-0008-0000-0600-00003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14</xdr:row>
          <xdr:rowOff>123825</xdr:rowOff>
        </xdr:from>
        <xdr:to>
          <xdr:col>4</xdr:col>
          <xdr:colOff>1171575</xdr:colOff>
          <xdr:row>14</xdr:row>
          <xdr:rowOff>342900</xdr:rowOff>
        </xdr:to>
        <xdr:sp macro="" textlink="">
          <xdr:nvSpPr>
            <xdr:cNvPr id="11328" name="B_26" hidden="1">
              <a:extLst>
                <a:ext uri="{63B3BB69-23CF-44E3-9099-C40C66FF867C}">
                  <a14:compatExt spid="_x0000_s11328"/>
                </a:ext>
                <a:ext uri="{FF2B5EF4-FFF2-40B4-BE49-F238E27FC236}">
                  <a16:creationId xmlns:a16="http://schemas.microsoft.com/office/drawing/2014/main" id="{00000000-0008-0000-0600-00004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15</xdr:row>
          <xdr:rowOff>133350</xdr:rowOff>
        </xdr:from>
        <xdr:to>
          <xdr:col>4</xdr:col>
          <xdr:colOff>676275</xdr:colOff>
          <xdr:row>15</xdr:row>
          <xdr:rowOff>352425</xdr:rowOff>
        </xdr:to>
        <xdr:sp macro="" textlink="">
          <xdr:nvSpPr>
            <xdr:cNvPr id="11329" name="B_27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6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15</xdr:row>
          <xdr:rowOff>133350</xdr:rowOff>
        </xdr:from>
        <xdr:to>
          <xdr:col>4</xdr:col>
          <xdr:colOff>1209675</xdr:colOff>
          <xdr:row>15</xdr:row>
          <xdr:rowOff>342900</xdr:rowOff>
        </xdr:to>
        <xdr:sp macro="" textlink="">
          <xdr:nvSpPr>
            <xdr:cNvPr id="11330" name="B_28" hidden="1">
              <a:extLst>
                <a:ext uri="{63B3BB69-23CF-44E3-9099-C40C66FF867C}">
                  <a14:compatExt spid="_x0000_s11330"/>
                </a:ext>
                <a:ext uri="{FF2B5EF4-FFF2-40B4-BE49-F238E27FC236}">
                  <a16:creationId xmlns:a16="http://schemas.microsoft.com/office/drawing/2014/main" id="{00000000-0008-0000-0600-00004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16</xdr:row>
          <xdr:rowOff>57150</xdr:rowOff>
        </xdr:from>
        <xdr:to>
          <xdr:col>4</xdr:col>
          <xdr:colOff>1314450</xdr:colOff>
          <xdr:row>16</xdr:row>
          <xdr:rowOff>381000</xdr:rowOff>
        </xdr:to>
        <xdr:sp macro="" textlink="">
          <xdr:nvSpPr>
            <xdr:cNvPr id="11381" name="Group Box 117" hidden="1">
              <a:extLst>
                <a:ext uri="{63B3BB69-23CF-44E3-9099-C40C66FF867C}">
                  <a14:compatExt spid="_x0000_s11381"/>
                </a:ext>
                <a:ext uri="{FF2B5EF4-FFF2-40B4-BE49-F238E27FC236}">
                  <a16:creationId xmlns:a16="http://schemas.microsoft.com/office/drawing/2014/main" id="{00000000-0008-0000-0600-00007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E_FE1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16</xdr:row>
          <xdr:rowOff>104775</xdr:rowOff>
        </xdr:from>
        <xdr:to>
          <xdr:col>4</xdr:col>
          <xdr:colOff>676275</xdr:colOff>
          <xdr:row>16</xdr:row>
          <xdr:rowOff>323850</xdr:rowOff>
        </xdr:to>
        <xdr:sp macro="" textlink="">
          <xdr:nvSpPr>
            <xdr:cNvPr id="11382" name="B_29" hidden="1">
              <a:extLst>
                <a:ext uri="{63B3BB69-23CF-44E3-9099-C40C66FF867C}">
                  <a14:compatExt spid="_x0000_s11382"/>
                </a:ext>
                <a:ext uri="{FF2B5EF4-FFF2-40B4-BE49-F238E27FC236}">
                  <a16:creationId xmlns:a16="http://schemas.microsoft.com/office/drawing/2014/main" id="{00000000-0008-0000-0600-00007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16</xdr:row>
          <xdr:rowOff>104775</xdr:rowOff>
        </xdr:from>
        <xdr:to>
          <xdr:col>4</xdr:col>
          <xdr:colOff>1209675</xdr:colOff>
          <xdr:row>16</xdr:row>
          <xdr:rowOff>323850</xdr:rowOff>
        </xdr:to>
        <xdr:sp macro="" textlink="">
          <xdr:nvSpPr>
            <xdr:cNvPr id="11383" name="B_30" hidden="1">
              <a:extLst>
                <a:ext uri="{63B3BB69-23CF-44E3-9099-C40C66FF867C}">
                  <a14:compatExt spid="_x0000_s11383"/>
                </a:ext>
                <a:ext uri="{FF2B5EF4-FFF2-40B4-BE49-F238E27FC236}">
                  <a16:creationId xmlns:a16="http://schemas.microsoft.com/office/drawing/2014/main" id="{00000000-0008-0000-0600-00007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933450</xdr:colOff>
      <xdr:row>17</xdr:row>
      <xdr:rowOff>169164</xdr:rowOff>
    </xdr:from>
    <xdr:to>
      <xdr:col>4</xdr:col>
      <xdr:colOff>1373426</xdr:colOff>
      <xdr:row>17</xdr:row>
      <xdr:rowOff>387096</xdr:rowOff>
    </xdr:to>
    <xdr:sp macro="" textlink="">
      <xdr:nvSpPr>
        <xdr:cNvPr id="61" name="Flecha: a la derecha 6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/>
      </xdr:nvSpPr>
      <xdr:spPr>
        <a:xfrm>
          <a:off x="6602730" y="8505444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0</xdr:colOff>
      <xdr:row>17</xdr:row>
      <xdr:rowOff>169164</xdr:rowOff>
    </xdr:from>
    <xdr:to>
      <xdr:col>1</xdr:col>
      <xdr:colOff>439976</xdr:colOff>
      <xdr:row>17</xdr:row>
      <xdr:rowOff>387096</xdr:rowOff>
    </xdr:to>
    <xdr:sp macro="" textlink="">
      <xdr:nvSpPr>
        <xdr:cNvPr id="62" name="Flecha: a la derecha 6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/>
      </xdr:nvSpPr>
      <xdr:spPr>
        <a:xfrm flipH="1">
          <a:off x="1417320" y="8505444"/>
          <a:ext cx="439976" cy="21793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145197</xdr:colOff>
      <xdr:row>17</xdr:row>
      <xdr:rowOff>144780</xdr:rowOff>
    </xdr:from>
    <xdr:to>
      <xdr:col>2</xdr:col>
      <xdr:colOff>1154847</xdr:colOff>
      <xdr:row>17</xdr:row>
      <xdr:rowOff>411480</xdr:rowOff>
    </xdr:to>
    <xdr:sp macro="[0]!CleanEmision.CleanEmisio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294037" y="8481060"/>
          <a:ext cx="1009650" cy="26670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000"/>
            <a:t>Limpiar datos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6</xdr:row>
          <xdr:rowOff>552450</xdr:rowOff>
        </xdr:from>
        <xdr:to>
          <xdr:col>4</xdr:col>
          <xdr:colOff>1209675</xdr:colOff>
          <xdr:row>6</xdr:row>
          <xdr:rowOff>742950</xdr:rowOff>
        </xdr:to>
        <xdr:sp macro="" textlink="">
          <xdr:nvSpPr>
            <xdr:cNvPr id="11385" name="B_14" hidden="1">
              <a:extLst>
                <a:ext uri="{63B3BB69-23CF-44E3-9099-C40C66FF867C}">
                  <a14:compatExt spid="_x0000_s11385"/>
                </a:ext>
                <a:ext uri="{FF2B5EF4-FFF2-40B4-BE49-F238E27FC236}">
                  <a16:creationId xmlns:a16="http://schemas.microsoft.com/office/drawing/2014/main" id="{00000000-0008-0000-0600-00007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Gran cantidad (≥50% de parte(s) del cuerpo) (10)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</xdr:row>
          <xdr:rowOff>219075</xdr:rowOff>
        </xdr:from>
        <xdr:to>
          <xdr:col>4</xdr:col>
          <xdr:colOff>1238250</xdr:colOff>
          <xdr:row>4</xdr:row>
          <xdr:rowOff>438150</xdr:rowOff>
        </xdr:to>
        <xdr:sp macro="" textlink="">
          <xdr:nvSpPr>
            <xdr:cNvPr id="11386" name="B_5" hidden="1">
              <a:extLst>
                <a:ext uri="{63B3BB69-23CF-44E3-9099-C40C66FF867C}">
                  <a14:compatExt spid="_x0000_s11386"/>
                </a:ext>
                <a:ext uri="{FF2B5EF4-FFF2-40B4-BE49-F238E27FC236}">
                  <a16:creationId xmlns:a16="http://schemas.microsoft.com/office/drawing/2014/main" id="{00000000-0008-0000-0600-00007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pequeña (&lt;10% de manos cubiertas)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</xdr:row>
          <xdr:rowOff>409575</xdr:rowOff>
        </xdr:from>
        <xdr:to>
          <xdr:col>4</xdr:col>
          <xdr:colOff>1228725</xdr:colOff>
          <xdr:row>4</xdr:row>
          <xdr:rowOff>590550</xdr:rowOff>
        </xdr:to>
        <xdr:sp macro="" textlink="">
          <xdr:nvSpPr>
            <xdr:cNvPr id="11388" name="B_6" hidden="1">
              <a:extLst>
                <a:ext uri="{63B3BB69-23CF-44E3-9099-C40C66FF867C}">
                  <a14:compatExt spid="_x0000_s11388"/>
                </a:ext>
                <a:ext uri="{FF2B5EF4-FFF2-40B4-BE49-F238E27FC236}">
                  <a16:creationId xmlns:a16="http://schemas.microsoft.com/office/drawing/2014/main" id="{00000000-0008-0000-0600-00007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Mediana cantidad (10-50% de manos cubiertas)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4</xdr:row>
          <xdr:rowOff>571500</xdr:rowOff>
        </xdr:from>
        <xdr:to>
          <xdr:col>4</xdr:col>
          <xdr:colOff>990600</xdr:colOff>
          <xdr:row>4</xdr:row>
          <xdr:rowOff>790575</xdr:rowOff>
        </xdr:to>
        <xdr:sp macro="" textlink="">
          <xdr:nvSpPr>
            <xdr:cNvPr id="11389" name="B_7" hidden="1">
              <a:extLst>
                <a:ext uri="{63B3BB69-23CF-44E3-9099-C40C66FF867C}">
                  <a14:compatExt spid="_x0000_s11389"/>
                </a:ext>
                <a:ext uri="{FF2B5EF4-FFF2-40B4-BE49-F238E27FC236}">
                  <a16:creationId xmlns:a16="http://schemas.microsoft.com/office/drawing/2014/main" id="{00000000-0008-0000-0600-00007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Gran cantidad (≥50% de manos cubiertas) (10)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2</xdr:row>
      <xdr:rowOff>0</xdr:rowOff>
    </xdr:from>
    <xdr:to>
      <xdr:col>0</xdr:col>
      <xdr:colOff>1013459</xdr:colOff>
      <xdr:row>5</xdr:row>
      <xdr:rowOff>675253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0" y="381000"/>
          <a:ext cx="1013459" cy="2885053"/>
          <a:chOff x="0" y="365760"/>
          <a:chExt cx="1013459" cy="2946013"/>
        </a:xfrm>
      </xdr:grpSpPr>
      <xdr:sp macro="" textlink="">
        <xdr:nvSpPr>
          <xdr:cNvPr id="68" name="Redondear rectángulo de esquina del mismo lado 6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SpPr/>
        </xdr:nvSpPr>
        <xdr:spPr>
          <a:xfrm rot="5400000">
            <a:off x="378655" y="1198685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6. Exposición</a:t>
            </a:r>
          </a:p>
        </xdr:txBody>
      </xdr:sp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GrpSpPr/>
        </xdr:nvGrpSpPr>
        <xdr:grpSpPr>
          <a:xfrm>
            <a:off x="0" y="365760"/>
            <a:ext cx="1013459" cy="2946013"/>
            <a:chOff x="0" y="365760"/>
            <a:chExt cx="1013459" cy="2946013"/>
          </a:xfrm>
        </xdr:grpSpPr>
        <xdr:sp macro="" textlink="">
          <xdr:nvSpPr>
            <xdr:cNvPr id="64" name="Redondear rectángulo de esquina del mismo lado 63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600-000040000000}"/>
                </a:ext>
              </a:extLst>
            </xdr:cNvPr>
            <xdr:cNvSpPr/>
          </xdr:nvSpPr>
          <xdr:spPr>
            <a:xfrm rot="5400000">
              <a:off x="378655" y="-1289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1.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Empresa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65" name="Redondear rectángulo de esquina del mismo lado 64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600-000041000000}"/>
                </a:ext>
              </a:extLst>
            </xdr:cNvPr>
            <xdr:cNvSpPr/>
          </xdr:nvSpPr>
          <xdr:spPr>
            <a:xfrm rot="5400000">
              <a:off x="378654" y="467167"/>
              <a:ext cx="256152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chemeClr val="tx1"/>
                  </a:solidFill>
                </a:rPr>
                <a:t>3. Puesto</a:t>
              </a:r>
            </a:p>
          </xdr:txBody>
        </xdr:sp>
        <xdr:sp macro="" textlink="">
          <xdr:nvSpPr>
            <xdr:cNvPr id="66" name="Redondear rectángulo de esquina del mismo lado 6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600-000042000000}"/>
                </a:ext>
              </a:extLst>
            </xdr:cNvPr>
            <xdr:cNvSpPr/>
          </xdr:nvSpPr>
          <xdr:spPr>
            <a:xfrm rot="5400000">
              <a:off x="378655" y="71100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4. Tarea</a:t>
              </a:r>
            </a:p>
          </xdr:txBody>
        </xdr:sp>
        <xdr:sp macro="" textlink="">
          <xdr:nvSpPr>
            <xdr:cNvPr id="67" name="Redondear rectángulo de esquina del mismo lado 6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600-000043000000}"/>
                </a:ext>
              </a:extLst>
            </xdr:cNvPr>
            <xdr:cNvSpPr/>
          </xdr:nvSpPr>
          <xdr:spPr>
            <a:xfrm rot="5400000">
              <a:off x="378655" y="95484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5.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Agente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69" name="Redondear rectángulo de esquina del mismo lado 68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600-000045000000}"/>
                </a:ext>
              </a:extLst>
            </xdr:cNvPr>
            <xdr:cNvSpPr/>
          </xdr:nvSpPr>
          <xdr:spPr>
            <a:xfrm rot="5400000">
              <a:off x="378655" y="1442527"/>
              <a:ext cx="256150" cy="1013459"/>
            </a:xfrm>
            <a:prstGeom prst="round2SameRect">
              <a:avLst/>
            </a:prstGeom>
            <a:solidFill>
              <a:schemeClr val="accent3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chemeClr val="bg1"/>
                  </a:solidFill>
                </a:rPr>
                <a:t>Emisión</a:t>
              </a:r>
            </a:p>
          </xdr:txBody>
        </xdr:sp>
        <xdr:sp macro="" textlink="">
          <xdr:nvSpPr>
            <xdr:cNvPr id="70" name="Redondear rectángulo de esquina del mismo lado 69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:cNvPr>
            <xdr:cNvSpPr/>
          </xdr:nvSpPr>
          <xdr:spPr>
            <a:xfrm rot="5400000">
              <a:off x="378655" y="168636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Deposición</a:t>
              </a:r>
            </a:p>
          </xdr:txBody>
        </xdr:sp>
        <xdr:sp macro="" textlink="">
          <xdr:nvSpPr>
            <xdr:cNvPr id="71" name="Redondear rectángulo de esquina del mismo lado 7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:cNvPr>
            <xdr:cNvSpPr/>
          </xdr:nvSpPr>
          <xdr:spPr>
            <a:xfrm rot="5400000">
              <a:off x="378655" y="193020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Transferencia</a:t>
              </a:r>
            </a:p>
          </xdr:txBody>
        </xdr:sp>
        <xdr:sp macro="" textlink="">
          <xdr:nvSpPr>
            <xdr:cNvPr id="72" name="Redondear rectángulo de esquina del mismo lado 7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600-000048000000}"/>
                </a:ext>
              </a:extLst>
            </xdr:cNvPr>
            <xdr:cNvSpPr/>
          </xdr:nvSpPr>
          <xdr:spPr>
            <a:xfrm rot="5400000">
              <a:off x="378655" y="2174049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Guantes</a:t>
              </a:r>
            </a:p>
          </xdr:txBody>
        </xdr:sp>
        <xdr:sp macro="" textlink="">
          <xdr:nvSpPr>
            <xdr:cNvPr id="73" name="Redondear rectángulo de esquina del mismo lado 7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49000000}"/>
                </a:ext>
              </a:extLst>
            </xdr:cNvPr>
            <xdr:cNvSpPr/>
          </xdr:nvSpPr>
          <xdr:spPr>
            <a:xfrm rot="5400000">
              <a:off x="378655" y="241788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Ropa</a:t>
              </a:r>
            </a:p>
          </xdr:txBody>
        </xdr:sp>
        <xdr:sp macro="" textlink="">
          <xdr:nvSpPr>
            <xdr:cNvPr id="74" name="Redondear rectángulo de esquina del mismo lado 7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4A000000}"/>
                </a:ext>
              </a:extLst>
            </xdr:cNvPr>
            <xdr:cNvSpPr/>
          </xdr:nvSpPr>
          <xdr:spPr>
            <a:xfrm rot="5400000">
              <a:off x="382465" y="227137"/>
              <a:ext cx="24853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2.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Departamento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75" name="Redondear rectángulo de esquina del mismo lado 7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4B000000}"/>
                </a:ext>
              </a:extLst>
            </xdr:cNvPr>
            <xdr:cNvSpPr/>
          </xdr:nvSpPr>
          <xdr:spPr>
            <a:xfrm rot="5400000">
              <a:off x="378655" y="2676968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Resultados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657225</xdr:colOff>
          <xdr:row>4</xdr:row>
          <xdr:rowOff>76200</xdr:rowOff>
        </xdr:from>
        <xdr:to>
          <xdr:col>4</xdr:col>
          <xdr:colOff>1238250</xdr:colOff>
          <xdr:row>4</xdr:row>
          <xdr:rowOff>295275</xdr:rowOff>
        </xdr:to>
        <xdr:sp macro="" textlink="">
          <xdr:nvSpPr>
            <xdr:cNvPr id="11390" name="B_126" hidden="1">
              <a:extLst>
                <a:ext uri="{63B3BB69-23CF-44E3-9099-C40C66FF867C}">
                  <a14:compatExt spid="_x0000_s11390"/>
                </a:ext>
                <a:ext uri="{FF2B5EF4-FFF2-40B4-BE49-F238E27FC236}">
                  <a16:creationId xmlns:a16="http://schemas.microsoft.com/office/drawing/2014/main" id="{00000000-0008-0000-0600-00007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6</xdr:row>
          <xdr:rowOff>76200</xdr:rowOff>
        </xdr:from>
        <xdr:to>
          <xdr:col>4</xdr:col>
          <xdr:colOff>1114425</xdr:colOff>
          <xdr:row>6</xdr:row>
          <xdr:rowOff>285750</xdr:rowOff>
        </xdr:to>
        <xdr:sp macro="" textlink="">
          <xdr:nvSpPr>
            <xdr:cNvPr id="11392" name="B_128" hidden="1">
              <a:extLst>
                <a:ext uri="{63B3BB69-23CF-44E3-9099-C40C66FF867C}">
                  <a14:compatExt spid="_x0000_s11392"/>
                </a:ext>
                <a:ext uri="{FF2B5EF4-FFF2-40B4-BE49-F238E27FC236}">
                  <a16:creationId xmlns:a16="http://schemas.microsoft.com/office/drawing/2014/main" id="{00000000-0008-0000-0600-00008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7</xdr:row>
          <xdr:rowOff>95250</xdr:rowOff>
        </xdr:from>
        <xdr:to>
          <xdr:col>4</xdr:col>
          <xdr:colOff>571500</xdr:colOff>
          <xdr:row>7</xdr:row>
          <xdr:rowOff>295275</xdr:rowOff>
        </xdr:to>
        <xdr:sp macro="" textlink="">
          <xdr:nvSpPr>
            <xdr:cNvPr id="51201" name="B_8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7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819150</xdr:colOff>
          <xdr:row>7</xdr:row>
          <xdr:rowOff>95250</xdr:rowOff>
        </xdr:from>
        <xdr:to>
          <xdr:col>4</xdr:col>
          <xdr:colOff>1038225</xdr:colOff>
          <xdr:row>7</xdr:row>
          <xdr:rowOff>285750</xdr:rowOff>
        </xdr:to>
        <xdr:sp macro="" textlink="">
          <xdr:nvSpPr>
            <xdr:cNvPr id="51202" name="B_9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7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28575</xdr:rowOff>
        </xdr:from>
        <xdr:to>
          <xdr:col>4</xdr:col>
          <xdr:colOff>1314450</xdr:colOff>
          <xdr:row>7</xdr:row>
          <xdr:rowOff>361950</xdr:rowOff>
        </xdr:to>
        <xdr:sp macro="" textlink="">
          <xdr:nvSpPr>
            <xdr:cNvPr id="51203" name="Group Box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7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D_HE1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123825</xdr:rowOff>
        </xdr:from>
        <xdr:to>
          <xdr:col>4</xdr:col>
          <xdr:colOff>571500</xdr:colOff>
          <xdr:row>8</xdr:row>
          <xdr:rowOff>323850</xdr:rowOff>
        </xdr:to>
        <xdr:sp macro="" textlink="">
          <xdr:nvSpPr>
            <xdr:cNvPr id="51204" name="B_10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7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819150</xdr:colOff>
          <xdr:row>8</xdr:row>
          <xdr:rowOff>104775</xdr:rowOff>
        </xdr:from>
        <xdr:to>
          <xdr:col>4</xdr:col>
          <xdr:colOff>1133475</xdr:colOff>
          <xdr:row>8</xdr:row>
          <xdr:rowOff>314325</xdr:rowOff>
        </xdr:to>
        <xdr:sp macro="" textlink="">
          <xdr:nvSpPr>
            <xdr:cNvPr id="51205" name="B_11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7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8</xdr:row>
          <xdr:rowOff>66675</xdr:rowOff>
        </xdr:from>
        <xdr:to>
          <xdr:col>4</xdr:col>
          <xdr:colOff>1304925</xdr:colOff>
          <xdr:row>8</xdr:row>
          <xdr:rowOff>323850</xdr:rowOff>
        </xdr:to>
        <xdr:sp macro="" textlink="">
          <xdr:nvSpPr>
            <xdr:cNvPr id="51206" name="Group Box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7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D_UA1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3</xdr:row>
          <xdr:rowOff>66675</xdr:rowOff>
        </xdr:from>
        <xdr:to>
          <xdr:col>4</xdr:col>
          <xdr:colOff>1323975</xdr:colOff>
          <xdr:row>3</xdr:row>
          <xdr:rowOff>895350</xdr:rowOff>
        </xdr:to>
        <xdr:sp macro="" textlink="">
          <xdr:nvSpPr>
            <xdr:cNvPr id="51216" name="Group Box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7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P_D.BP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3</xdr:row>
          <xdr:rowOff>171450</xdr:rowOff>
        </xdr:from>
        <xdr:to>
          <xdr:col>4</xdr:col>
          <xdr:colOff>638175</xdr:colOff>
          <xdr:row>3</xdr:row>
          <xdr:rowOff>390525</xdr:rowOff>
        </xdr:to>
        <xdr:sp macro="" textlink="">
          <xdr:nvSpPr>
            <xdr:cNvPr id="51217" name="B_1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7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Improbable (&lt;1% de la tarea) [ir a 2] (0)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3</xdr:row>
          <xdr:rowOff>333375</xdr:rowOff>
        </xdr:from>
        <xdr:to>
          <xdr:col>4</xdr:col>
          <xdr:colOff>800100</xdr:colOff>
          <xdr:row>3</xdr:row>
          <xdr:rowOff>552450</xdr:rowOff>
        </xdr:to>
        <xdr:sp macro="" textlink="">
          <xdr:nvSpPr>
            <xdr:cNvPr id="51218" name="B_2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7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Ocasionalmente (&lt;10% de la tarea)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3</xdr:row>
          <xdr:rowOff>485775</xdr:rowOff>
        </xdr:from>
        <xdr:to>
          <xdr:col>4</xdr:col>
          <xdr:colOff>800100</xdr:colOff>
          <xdr:row>3</xdr:row>
          <xdr:rowOff>704850</xdr:rowOff>
        </xdr:to>
        <xdr:sp macro="" textlink="">
          <xdr:nvSpPr>
            <xdr:cNvPr id="51219" name="B_3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7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Repetidamente (10-50% de la tarea)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3</xdr:row>
          <xdr:rowOff>647700</xdr:rowOff>
        </xdr:from>
        <xdr:to>
          <xdr:col>4</xdr:col>
          <xdr:colOff>952500</xdr:colOff>
          <xdr:row>3</xdr:row>
          <xdr:rowOff>866775</xdr:rowOff>
        </xdr:to>
        <xdr:sp macro="" textlink="">
          <xdr:nvSpPr>
            <xdr:cNvPr id="51220" name="B_4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7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Casi constantemente (≥50% de la tarea) (10)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4</xdr:row>
          <xdr:rowOff>57150</xdr:rowOff>
        </xdr:from>
        <xdr:to>
          <xdr:col>4</xdr:col>
          <xdr:colOff>1323975</xdr:colOff>
          <xdr:row>4</xdr:row>
          <xdr:rowOff>819150</xdr:rowOff>
        </xdr:to>
        <xdr:sp macro="" textlink="">
          <xdr:nvSpPr>
            <xdr:cNvPr id="51221" name="Group Box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7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I_D.BP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</xdr:row>
          <xdr:rowOff>171450</xdr:rowOff>
        </xdr:from>
        <xdr:to>
          <xdr:col>4</xdr:col>
          <xdr:colOff>1304925</xdr:colOff>
          <xdr:row>4</xdr:row>
          <xdr:rowOff>400050</xdr:rowOff>
        </xdr:to>
        <xdr:sp macro="" textlink="">
          <xdr:nvSpPr>
            <xdr:cNvPr id="51222" name="B_5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7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pequeña (&lt;10% de parte(s) del cuerpo)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</xdr:row>
          <xdr:rowOff>352425</xdr:rowOff>
        </xdr:from>
        <xdr:to>
          <xdr:col>4</xdr:col>
          <xdr:colOff>1323975</xdr:colOff>
          <xdr:row>4</xdr:row>
          <xdr:rowOff>571500</xdr:rowOff>
        </xdr:to>
        <xdr:sp macro="" textlink="">
          <xdr:nvSpPr>
            <xdr:cNvPr id="51223" name="B_6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7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Mediana cantidad (10-50% de parte(s) del cuerpo]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</xdr:row>
          <xdr:rowOff>523875</xdr:rowOff>
        </xdr:from>
        <xdr:to>
          <xdr:col>4</xdr:col>
          <xdr:colOff>1247775</xdr:colOff>
          <xdr:row>4</xdr:row>
          <xdr:rowOff>742950</xdr:rowOff>
        </xdr:to>
        <xdr:sp macro="" textlink="">
          <xdr:nvSpPr>
            <xdr:cNvPr id="51224" name="B_7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7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Gran cantidad [≥50% de parte(s) del cuerpo] (10)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9</xdr:row>
          <xdr:rowOff>66675</xdr:rowOff>
        </xdr:from>
        <xdr:to>
          <xdr:col>4</xdr:col>
          <xdr:colOff>1314450</xdr:colOff>
          <xdr:row>9</xdr:row>
          <xdr:rowOff>400050</xdr:rowOff>
        </xdr:to>
        <xdr:sp macro="" textlink="">
          <xdr:nvSpPr>
            <xdr:cNvPr id="51225" name="Group Box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7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D_FA1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10</xdr:row>
          <xdr:rowOff>47625</xdr:rowOff>
        </xdr:from>
        <xdr:to>
          <xdr:col>4</xdr:col>
          <xdr:colOff>1314450</xdr:colOff>
          <xdr:row>10</xdr:row>
          <xdr:rowOff>371475</xdr:rowOff>
        </xdr:to>
        <xdr:sp macro="" textlink="">
          <xdr:nvSpPr>
            <xdr:cNvPr id="51226" name="Group Box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7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D_HA1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11</xdr:row>
          <xdr:rowOff>47625</xdr:rowOff>
        </xdr:from>
        <xdr:to>
          <xdr:col>4</xdr:col>
          <xdr:colOff>1314450</xdr:colOff>
          <xdr:row>11</xdr:row>
          <xdr:rowOff>371475</xdr:rowOff>
        </xdr:to>
        <xdr:sp macro="" textlink="">
          <xdr:nvSpPr>
            <xdr:cNvPr id="51227" name="Group Box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7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D_TF1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12</xdr:row>
          <xdr:rowOff>57150</xdr:rowOff>
        </xdr:from>
        <xdr:to>
          <xdr:col>4</xdr:col>
          <xdr:colOff>1314450</xdr:colOff>
          <xdr:row>12</xdr:row>
          <xdr:rowOff>390525</xdr:rowOff>
        </xdr:to>
        <xdr:sp macro="" textlink="">
          <xdr:nvSpPr>
            <xdr:cNvPr id="51228" name="Group Box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7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D_TB1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13</xdr:row>
          <xdr:rowOff>66675</xdr:rowOff>
        </xdr:from>
        <xdr:to>
          <xdr:col>4</xdr:col>
          <xdr:colOff>1314450</xdr:colOff>
          <xdr:row>13</xdr:row>
          <xdr:rowOff>400050</xdr:rowOff>
        </xdr:to>
        <xdr:sp macro="" textlink="">
          <xdr:nvSpPr>
            <xdr:cNvPr id="51229" name="Group Box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7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D_LB1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14</xdr:row>
          <xdr:rowOff>76200</xdr:rowOff>
        </xdr:from>
        <xdr:to>
          <xdr:col>4</xdr:col>
          <xdr:colOff>1314450</xdr:colOff>
          <xdr:row>14</xdr:row>
          <xdr:rowOff>400050</xdr:rowOff>
        </xdr:to>
        <xdr:sp macro="" textlink="">
          <xdr:nvSpPr>
            <xdr:cNvPr id="51230" name="Group Box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7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D_LL1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133350</xdr:rowOff>
        </xdr:from>
        <xdr:to>
          <xdr:col>4</xdr:col>
          <xdr:colOff>704850</xdr:colOff>
          <xdr:row>9</xdr:row>
          <xdr:rowOff>361950</xdr:rowOff>
        </xdr:to>
        <xdr:sp macro="" textlink="">
          <xdr:nvSpPr>
            <xdr:cNvPr id="51231" name="B_12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7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828675</xdr:colOff>
          <xdr:row>9</xdr:row>
          <xdr:rowOff>133350</xdr:rowOff>
        </xdr:from>
        <xdr:to>
          <xdr:col>4</xdr:col>
          <xdr:colOff>1200150</xdr:colOff>
          <xdr:row>9</xdr:row>
          <xdr:rowOff>352425</xdr:rowOff>
        </xdr:to>
        <xdr:sp macro="" textlink="">
          <xdr:nvSpPr>
            <xdr:cNvPr id="51232" name="B_13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7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114300</xdr:rowOff>
        </xdr:from>
        <xdr:to>
          <xdr:col>4</xdr:col>
          <xdr:colOff>676275</xdr:colOff>
          <xdr:row>10</xdr:row>
          <xdr:rowOff>323850</xdr:rowOff>
        </xdr:to>
        <xdr:sp macro="" textlink="">
          <xdr:nvSpPr>
            <xdr:cNvPr id="51233" name="B_14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7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838200</xdr:colOff>
          <xdr:row>10</xdr:row>
          <xdr:rowOff>114300</xdr:rowOff>
        </xdr:from>
        <xdr:to>
          <xdr:col>4</xdr:col>
          <xdr:colOff>1200150</xdr:colOff>
          <xdr:row>10</xdr:row>
          <xdr:rowOff>333375</xdr:rowOff>
        </xdr:to>
        <xdr:sp macro="" textlink="">
          <xdr:nvSpPr>
            <xdr:cNvPr id="51234" name="B_15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7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104775</xdr:rowOff>
        </xdr:from>
        <xdr:to>
          <xdr:col>4</xdr:col>
          <xdr:colOff>609600</xdr:colOff>
          <xdr:row>11</xdr:row>
          <xdr:rowOff>323850</xdr:rowOff>
        </xdr:to>
        <xdr:sp macro="" textlink="">
          <xdr:nvSpPr>
            <xdr:cNvPr id="51235" name="B_16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7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847725</xdr:colOff>
          <xdr:row>11</xdr:row>
          <xdr:rowOff>114300</xdr:rowOff>
        </xdr:from>
        <xdr:to>
          <xdr:col>4</xdr:col>
          <xdr:colOff>1085850</xdr:colOff>
          <xdr:row>11</xdr:row>
          <xdr:rowOff>323850</xdr:rowOff>
        </xdr:to>
        <xdr:sp macro="" textlink="">
          <xdr:nvSpPr>
            <xdr:cNvPr id="51236" name="B_17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7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12</xdr:row>
          <xdr:rowOff>133350</xdr:rowOff>
        </xdr:from>
        <xdr:to>
          <xdr:col>4</xdr:col>
          <xdr:colOff>657225</xdr:colOff>
          <xdr:row>12</xdr:row>
          <xdr:rowOff>352425</xdr:rowOff>
        </xdr:to>
        <xdr:sp macro="" textlink="">
          <xdr:nvSpPr>
            <xdr:cNvPr id="51237" name="B_18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07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847725</xdr:colOff>
          <xdr:row>12</xdr:row>
          <xdr:rowOff>133350</xdr:rowOff>
        </xdr:from>
        <xdr:to>
          <xdr:col>4</xdr:col>
          <xdr:colOff>1114425</xdr:colOff>
          <xdr:row>12</xdr:row>
          <xdr:rowOff>342900</xdr:rowOff>
        </xdr:to>
        <xdr:sp macro="" textlink="">
          <xdr:nvSpPr>
            <xdr:cNvPr id="51238" name="B_19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07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13</xdr:row>
          <xdr:rowOff>123825</xdr:rowOff>
        </xdr:from>
        <xdr:to>
          <xdr:col>4</xdr:col>
          <xdr:colOff>657225</xdr:colOff>
          <xdr:row>13</xdr:row>
          <xdr:rowOff>342900</xdr:rowOff>
        </xdr:to>
        <xdr:sp macro="" textlink="">
          <xdr:nvSpPr>
            <xdr:cNvPr id="51239" name="B_20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07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13</xdr:row>
          <xdr:rowOff>123825</xdr:rowOff>
        </xdr:from>
        <xdr:to>
          <xdr:col>4</xdr:col>
          <xdr:colOff>1171575</xdr:colOff>
          <xdr:row>13</xdr:row>
          <xdr:rowOff>342900</xdr:rowOff>
        </xdr:to>
        <xdr:sp macro="" textlink="">
          <xdr:nvSpPr>
            <xdr:cNvPr id="51240" name="B_21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07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14</xdr:row>
          <xdr:rowOff>133350</xdr:rowOff>
        </xdr:from>
        <xdr:to>
          <xdr:col>4</xdr:col>
          <xdr:colOff>676275</xdr:colOff>
          <xdr:row>14</xdr:row>
          <xdr:rowOff>352425</xdr:rowOff>
        </xdr:to>
        <xdr:sp macro="" textlink="">
          <xdr:nvSpPr>
            <xdr:cNvPr id="51241" name="B_22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07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14</xdr:row>
          <xdr:rowOff>133350</xdr:rowOff>
        </xdr:from>
        <xdr:to>
          <xdr:col>4</xdr:col>
          <xdr:colOff>1209675</xdr:colOff>
          <xdr:row>14</xdr:row>
          <xdr:rowOff>342900</xdr:rowOff>
        </xdr:to>
        <xdr:sp macro="" textlink="">
          <xdr:nvSpPr>
            <xdr:cNvPr id="51242" name="B_23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07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15</xdr:row>
          <xdr:rowOff>57150</xdr:rowOff>
        </xdr:from>
        <xdr:to>
          <xdr:col>4</xdr:col>
          <xdr:colOff>1314450</xdr:colOff>
          <xdr:row>15</xdr:row>
          <xdr:rowOff>381000</xdr:rowOff>
        </xdr:to>
        <xdr:sp macro="" textlink="">
          <xdr:nvSpPr>
            <xdr:cNvPr id="51243" name="Group Box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07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D_FE1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15</xdr:row>
          <xdr:rowOff>104775</xdr:rowOff>
        </xdr:from>
        <xdr:to>
          <xdr:col>4</xdr:col>
          <xdr:colOff>676275</xdr:colOff>
          <xdr:row>15</xdr:row>
          <xdr:rowOff>323850</xdr:rowOff>
        </xdr:to>
        <xdr:sp macro="" textlink="">
          <xdr:nvSpPr>
            <xdr:cNvPr id="51244" name="B_2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07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15</xdr:row>
          <xdr:rowOff>104775</xdr:rowOff>
        </xdr:from>
        <xdr:to>
          <xdr:col>4</xdr:col>
          <xdr:colOff>1209675</xdr:colOff>
          <xdr:row>15</xdr:row>
          <xdr:rowOff>323850</xdr:rowOff>
        </xdr:to>
        <xdr:sp macro="" textlink="">
          <xdr:nvSpPr>
            <xdr:cNvPr id="51245" name="B_2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07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958850</xdr:colOff>
      <xdr:row>16</xdr:row>
      <xdr:rowOff>144534</xdr:rowOff>
    </xdr:from>
    <xdr:to>
      <xdr:col>4</xdr:col>
      <xdr:colOff>1377461</xdr:colOff>
      <xdr:row>17</xdr:row>
      <xdr:rowOff>67826</xdr:rowOff>
    </xdr:to>
    <xdr:sp macro="" textlink="">
      <xdr:nvSpPr>
        <xdr:cNvPr id="54" name="Flecha: a la derecha 5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>
        <a:xfrm>
          <a:off x="6496050" y="6799334"/>
          <a:ext cx="418611" cy="20269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1384788</xdr:colOff>
      <xdr:row>16</xdr:row>
      <xdr:rowOff>144534</xdr:rowOff>
    </xdr:from>
    <xdr:to>
      <xdr:col>1</xdr:col>
      <xdr:colOff>439976</xdr:colOff>
      <xdr:row>17</xdr:row>
      <xdr:rowOff>67826</xdr:rowOff>
    </xdr:to>
    <xdr:sp macro="" textlink="">
      <xdr:nvSpPr>
        <xdr:cNvPr id="55" name="Flecha: a la derecha 5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SpPr/>
      </xdr:nvSpPr>
      <xdr:spPr>
        <a:xfrm flipH="1">
          <a:off x="1384788" y="6790053"/>
          <a:ext cx="439976" cy="201715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147485</xdr:colOff>
      <xdr:row>16</xdr:row>
      <xdr:rowOff>122116</xdr:rowOff>
    </xdr:from>
    <xdr:to>
      <xdr:col>2</xdr:col>
      <xdr:colOff>1166660</xdr:colOff>
      <xdr:row>17</xdr:row>
      <xdr:rowOff>104898</xdr:rowOff>
    </xdr:to>
    <xdr:sp macro="[0]!CleanDepo.CleanDepo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289552" y="6802316"/>
          <a:ext cx="1019175" cy="262182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000"/>
            <a:t>Limpiar datos</a:t>
          </a:r>
        </a:p>
      </xdr:txBody>
    </xdr:sp>
    <xdr:clientData/>
  </xdr:twoCellAnchor>
  <xdr:twoCellAnchor>
    <xdr:from>
      <xdr:col>0</xdr:col>
      <xdr:colOff>0</xdr:colOff>
      <xdr:row>2</xdr:row>
      <xdr:rowOff>1</xdr:rowOff>
    </xdr:from>
    <xdr:to>
      <xdr:col>0</xdr:col>
      <xdr:colOff>1013459</xdr:colOff>
      <xdr:row>8</xdr:row>
      <xdr:rowOff>179953</xdr:rowOff>
    </xdr:to>
    <xdr:grpSp>
      <xdr:nvGrpSpPr>
        <xdr:cNvPr id="118" name="Grupo 117">
          <a:extLst>
            <a:ext uri="{FF2B5EF4-FFF2-40B4-BE49-F238E27FC236}">
              <a16:creationId xmlns:a16="http://schemas.microsoft.com/office/drawing/2014/main" id="{00000000-0008-0000-0700-000076000000}"/>
            </a:ext>
          </a:extLst>
        </xdr:cNvPr>
        <xdr:cNvGrpSpPr/>
      </xdr:nvGrpSpPr>
      <xdr:grpSpPr>
        <a:xfrm>
          <a:off x="0" y="381001"/>
          <a:ext cx="1013459" cy="2942202"/>
          <a:chOff x="0" y="365761"/>
          <a:chExt cx="1013459" cy="2946012"/>
        </a:xfrm>
      </xdr:grpSpPr>
      <xdr:sp macro="" textlink="">
        <xdr:nvSpPr>
          <xdr:cNvPr id="119" name="Redondear rectángulo de esquina del mismo lado 11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700-000077000000}"/>
              </a:ext>
            </a:extLst>
          </xdr:cNvPr>
          <xdr:cNvSpPr/>
        </xdr:nvSpPr>
        <xdr:spPr>
          <a:xfrm rot="5400000">
            <a:off x="378655" y="1198685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6. Exposición</a:t>
            </a:r>
          </a:p>
        </xdr:txBody>
      </xdr:sp>
      <xdr:grpSp>
        <xdr:nvGrpSpPr>
          <xdr:cNvPr id="120" name="Grupo 119">
            <a:extLst>
              <a:ext uri="{FF2B5EF4-FFF2-40B4-BE49-F238E27FC236}">
                <a16:creationId xmlns:a16="http://schemas.microsoft.com/office/drawing/2014/main" id="{00000000-0008-0000-0700-000078000000}"/>
              </a:ext>
            </a:extLst>
          </xdr:cNvPr>
          <xdr:cNvGrpSpPr/>
        </xdr:nvGrpSpPr>
        <xdr:grpSpPr>
          <a:xfrm>
            <a:off x="0" y="365761"/>
            <a:ext cx="1013459" cy="2946012"/>
            <a:chOff x="0" y="365761"/>
            <a:chExt cx="1013459" cy="2946012"/>
          </a:xfrm>
        </xdr:grpSpPr>
        <xdr:sp macro="" textlink="">
          <xdr:nvSpPr>
            <xdr:cNvPr id="121" name="Redondear rectángulo de esquina del mismo lado 12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700-000079000000}"/>
                </a:ext>
              </a:extLst>
            </xdr:cNvPr>
            <xdr:cNvSpPr/>
          </xdr:nvSpPr>
          <xdr:spPr>
            <a:xfrm rot="5400000">
              <a:off x="381378" y="-15617"/>
              <a:ext cx="250703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1.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Empresa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22" name="Redondear rectángulo de esquina del mismo lado 121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700-00007A000000}"/>
                </a:ext>
              </a:extLst>
            </xdr:cNvPr>
            <xdr:cNvSpPr/>
          </xdr:nvSpPr>
          <xdr:spPr>
            <a:xfrm rot="5400000">
              <a:off x="378654" y="467167"/>
              <a:ext cx="256152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chemeClr val="tx1"/>
                  </a:solidFill>
                </a:rPr>
                <a:t>3. Puesto</a:t>
              </a:r>
            </a:p>
          </xdr:txBody>
        </xdr:sp>
        <xdr:sp macro="" textlink="">
          <xdr:nvSpPr>
            <xdr:cNvPr id="123" name="Redondear rectángulo de esquina del mismo lado 12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700-00007B000000}"/>
                </a:ext>
              </a:extLst>
            </xdr:cNvPr>
            <xdr:cNvSpPr/>
          </xdr:nvSpPr>
          <xdr:spPr>
            <a:xfrm rot="5400000">
              <a:off x="378655" y="71100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4. Tarea</a:t>
              </a:r>
            </a:p>
          </xdr:txBody>
        </xdr:sp>
        <xdr:sp macro="" textlink="">
          <xdr:nvSpPr>
            <xdr:cNvPr id="124" name="Redondear rectángulo de esquina del mismo lado 12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700-00007C000000}"/>
                </a:ext>
              </a:extLst>
            </xdr:cNvPr>
            <xdr:cNvSpPr/>
          </xdr:nvSpPr>
          <xdr:spPr>
            <a:xfrm rot="5400000">
              <a:off x="378655" y="95484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5.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Agente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25" name="Redondear rectángulo de esquina del mismo lado 12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700-00007D000000}"/>
                </a:ext>
              </a:extLst>
            </xdr:cNvPr>
            <xdr:cNvSpPr/>
          </xdr:nvSpPr>
          <xdr:spPr>
            <a:xfrm rot="5400000">
              <a:off x="378655" y="144252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Emisión</a:t>
              </a:r>
            </a:p>
          </xdr:txBody>
        </xdr:sp>
        <xdr:sp macro="" textlink="">
          <xdr:nvSpPr>
            <xdr:cNvPr id="126" name="Redondear rectángulo de esquina del mismo lado 12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700-00007E000000}"/>
                </a:ext>
              </a:extLst>
            </xdr:cNvPr>
            <xdr:cNvSpPr/>
          </xdr:nvSpPr>
          <xdr:spPr>
            <a:xfrm rot="5400000">
              <a:off x="378655" y="1686365"/>
              <a:ext cx="256150" cy="1013459"/>
            </a:xfrm>
            <a:prstGeom prst="round2SameRect">
              <a:avLst/>
            </a:prstGeom>
            <a:solidFill>
              <a:schemeClr val="accent3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chemeClr val="bg1"/>
                  </a:solidFill>
                </a:rPr>
                <a:t>Deposición</a:t>
              </a:r>
            </a:p>
          </xdr:txBody>
        </xdr:sp>
        <xdr:sp macro="" textlink="">
          <xdr:nvSpPr>
            <xdr:cNvPr id="127" name="Redondear rectángulo de esquina del mismo lado 126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700-00007F000000}"/>
                </a:ext>
              </a:extLst>
            </xdr:cNvPr>
            <xdr:cNvSpPr/>
          </xdr:nvSpPr>
          <xdr:spPr>
            <a:xfrm rot="5400000">
              <a:off x="378655" y="193020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Transferencia</a:t>
              </a:r>
            </a:p>
          </xdr:txBody>
        </xdr:sp>
        <xdr:sp macro="" textlink="">
          <xdr:nvSpPr>
            <xdr:cNvPr id="128" name="Redondear rectángulo de esquina del mismo lado 127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700-000080000000}"/>
                </a:ext>
              </a:extLst>
            </xdr:cNvPr>
            <xdr:cNvSpPr/>
          </xdr:nvSpPr>
          <xdr:spPr>
            <a:xfrm rot="5400000">
              <a:off x="378655" y="2174049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Guantes</a:t>
              </a:r>
            </a:p>
          </xdr:txBody>
        </xdr:sp>
        <xdr:sp macro="" textlink="">
          <xdr:nvSpPr>
            <xdr:cNvPr id="129" name="Redondear rectángulo de esquina del mismo lado 128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700-000081000000}"/>
                </a:ext>
              </a:extLst>
            </xdr:cNvPr>
            <xdr:cNvSpPr/>
          </xdr:nvSpPr>
          <xdr:spPr>
            <a:xfrm rot="5400000">
              <a:off x="378655" y="241788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Ropa</a:t>
              </a:r>
            </a:p>
          </xdr:txBody>
        </xdr:sp>
        <xdr:sp macro="" textlink="">
          <xdr:nvSpPr>
            <xdr:cNvPr id="130" name="Redondear rectángulo de esquina del mismo lado 129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700-000082000000}"/>
                </a:ext>
              </a:extLst>
            </xdr:cNvPr>
            <xdr:cNvSpPr>
              <a:spLocks noChangeAspect="1"/>
            </xdr:cNvSpPr>
          </xdr:nvSpPr>
          <xdr:spPr>
            <a:xfrm rot="5400000">
              <a:off x="381378" y="228224"/>
              <a:ext cx="250703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2.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Departamento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31" name="Redondear rectángulo de esquina del mismo lado 13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700-000083000000}"/>
                </a:ext>
              </a:extLst>
            </xdr:cNvPr>
            <xdr:cNvSpPr/>
          </xdr:nvSpPr>
          <xdr:spPr>
            <a:xfrm rot="5400000">
              <a:off x="378655" y="2676968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Resultados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4</xdr:row>
          <xdr:rowOff>57150</xdr:rowOff>
        </xdr:from>
        <xdr:to>
          <xdr:col>4</xdr:col>
          <xdr:colOff>1152525</xdr:colOff>
          <xdr:row>4</xdr:row>
          <xdr:rowOff>266700</xdr:rowOff>
        </xdr:to>
        <xdr:sp macro="" textlink="">
          <xdr:nvSpPr>
            <xdr:cNvPr id="51246" name="B_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07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8</xdr:row>
          <xdr:rowOff>152400</xdr:rowOff>
        </xdr:from>
        <xdr:to>
          <xdr:col>3</xdr:col>
          <xdr:colOff>628650</xdr:colOff>
          <xdr:row>8</xdr:row>
          <xdr:rowOff>323850</xdr:rowOff>
        </xdr:to>
        <xdr:sp macro="" textlink="">
          <xdr:nvSpPr>
            <xdr:cNvPr id="19473" name="B_25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8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8</xdr:row>
          <xdr:rowOff>133350</xdr:rowOff>
        </xdr:from>
        <xdr:to>
          <xdr:col>4</xdr:col>
          <xdr:colOff>771525</xdr:colOff>
          <xdr:row>8</xdr:row>
          <xdr:rowOff>333375</xdr:rowOff>
        </xdr:to>
        <xdr:sp macro="" textlink="">
          <xdr:nvSpPr>
            <xdr:cNvPr id="19474" name="B_26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08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</xdr:row>
          <xdr:rowOff>133350</xdr:rowOff>
        </xdr:from>
        <xdr:to>
          <xdr:col>5</xdr:col>
          <xdr:colOff>676275</xdr:colOff>
          <xdr:row>8</xdr:row>
          <xdr:rowOff>342900</xdr:rowOff>
        </xdr:to>
        <xdr:sp macro="" textlink="">
          <xdr:nvSpPr>
            <xdr:cNvPr id="19475" name="B_27" hidden="1">
              <a:extLst>
                <a:ext uri="{63B3BB69-23CF-44E3-9099-C40C66FF867C}">
                  <a14:compatExt spid="_x0000_s19475"/>
                </a:ext>
                <a:ext uri="{FF2B5EF4-FFF2-40B4-BE49-F238E27FC236}">
                  <a16:creationId xmlns:a16="http://schemas.microsoft.com/office/drawing/2014/main" id="{00000000-0008-0000-0800-00001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8</xdr:row>
          <xdr:rowOff>57150</xdr:rowOff>
        </xdr:from>
        <xdr:to>
          <xdr:col>6</xdr:col>
          <xdr:colOff>676275</xdr:colOff>
          <xdr:row>8</xdr:row>
          <xdr:rowOff>428625</xdr:rowOff>
        </xdr:to>
        <xdr:sp macro="" textlink="">
          <xdr:nvSpPr>
            <xdr:cNvPr id="19476" name="Group Box 20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8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P_T.HA.TO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8</xdr:row>
          <xdr:rowOff>152400</xdr:rowOff>
        </xdr:from>
        <xdr:to>
          <xdr:col>6</xdr:col>
          <xdr:colOff>581025</xdr:colOff>
          <xdr:row>8</xdr:row>
          <xdr:rowOff>333375</xdr:rowOff>
        </xdr:to>
        <xdr:sp macro="" textlink="">
          <xdr:nvSpPr>
            <xdr:cNvPr id="19477" name="B_28" hidden="1">
              <a:extLst>
                <a:ext uri="{63B3BB69-23CF-44E3-9099-C40C66FF867C}">
                  <a14:compatExt spid="_x0000_s19477"/>
                </a:ext>
                <a:ext uri="{FF2B5EF4-FFF2-40B4-BE49-F238E27FC236}">
                  <a16:creationId xmlns:a16="http://schemas.microsoft.com/office/drawing/2014/main" id="{00000000-0008-0000-0800-00001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9</xdr:row>
          <xdr:rowOff>171450</xdr:rowOff>
        </xdr:from>
        <xdr:to>
          <xdr:col>6</xdr:col>
          <xdr:colOff>590550</xdr:colOff>
          <xdr:row>9</xdr:row>
          <xdr:rowOff>361950</xdr:rowOff>
        </xdr:to>
        <xdr:sp macro="" textlink="">
          <xdr:nvSpPr>
            <xdr:cNvPr id="19487" name="B_36" hidden="1">
              <a:extLst>
                <a:ext uri="{63B3BB69-23CF-44E3-9099-C40C66FF867C}">
                  <a14:compatExt spid="_x0000_s19487"/>
                </a:ext>
                <a:ext uri="{FF2B5EF4-FFF2-40B4-BE49-F238E27FC236}">
                  <a16:creationId xmlns:a16="http://schemas.microsoft.com/office/drawing/2014/main" id="{00000000-0008-0000-0800-00001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5</xdr:row>
          <xdr:rowOff>57150</xdr:rowOff>
        </xdr:from>
        <xdr:to>
          <xdr:col>6</xdr:col>
          <xdr:colOff>666750</xdr:colOff>
          <xdr:row>5</xdr:row>
          <xdr:rowOff>428625</xdr:rowOff>
        </xdr:to>
        <xdr:sp macro="" textlink="">
          <xdr:nvSpPr>
            <xdr:cNvPr id="19461" name="Group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8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P_T.HA.FL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6</xdr:row>
          <xdr:rowOff>57150</xdr:rowOff>
        </xdr:from>
        <xdr:to>
          <xdr:col>6</xdr:col>
          <xdr:colOff>676275</xdr:colOff>
          <xdr:row>6</xdr:row>
          <xdr:rowOff>428625</xdr:rowOff>
        </xdr:to>
        <xdr:sp macro="" textlink="">
          <xdr:nvSpPr>
            <xdr:cNvPr id="19466" name="Group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8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P_T.HA.TA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7</xdr:row>
          <xdr:rowOff>152400</xdr:rowOff>
        </xdr:from>
        <xdr:to>
          <xdr:col>3</xdr:col>
          <xdr:colOff>628650</xdr:colOff>
          <xdr:row>7</xdr:row>
          <xdr:rowOff>323850</xdr:rowOff>
        </xdr:to>
        <xdr:sp macro="" textlink="">
          <xdr:nvSpPr>
            <xdr:cNvPr id="19468" name="B_17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8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7</xdr:row>
          <xdr:rowOff>133350</xdr:rowOff>
        </xdr:from>
        <xdr:to>
          <xdr:col>4</xdr:col>
          <xdr:colOff>762000</xdr:colOff>
          <xdr:row>7</xdr:row>
          <xdr:rowOff>333375</xdr:rowOff>
        </xdr:to>
        <xdr:sp macro="" textlink="">
          <xdr:nvSpPr>
            <xdr:cNvPr id="19469" name="B_18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8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</xdr:row>
          <xdr:rowOff>133350</xdr:rowOff>
        </xdr:from>
        <xdr:to>
          <xdr:col>5</xdr:col>
          <xdr:colOff>676275</xdr:colOff>
          <xdr:row>7</xdr:row>
          <xdr:rowOff>342900</xdr:rowOff>
        </xdr:to>
        <xdr:sp macro="" textlink="">
          <xdr:nvSpPr>
            <xdr:cNvPr id="19470" name="B_19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8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7</xdr:row>
          <xdr:rowOff>57150</xdr:rowOff>
        </xdr:from>
        <xdr:to>
          <xdr:col>6</xdr:col>
          <xdr:colOff>685800</xdr:colOff>
          <xdr:row>7</xdr:row>
          <xdr:rowOff>428625</xdr:rowOff>
        </xdr:to>
        <xdr:sp macro="" textlink="">
          <xdr:nvSpPr>
            <xdr:cNvPr id="19471" name="Group Box 15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8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P_T.HA.MA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7</xdr:row>
          <xdr:rowOff>152400</xdr:rowOff>
        </xdr:from>
        <xdr:to>
          <xdr:col>6</xdr:col>
          <xdr:colOff>581025</xdr:colOff>
          <xdr:row>7</xdr:row>
          <xdr:rowOff>333375</xdr:rowOff>
        </xdr:to>
        <xdr:sp macro="" textlink="">
          <xdr:nvSpPr>
            <xdr:cNvPr id="19472" name="B_20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8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9</xdr:row>
          <xdr:rowOff>85725</xdr:rowOff>
        </xdr:from>
        <xdr:to>
          <xdr:col>6</xdr:col>
          <xdr:colOff>676275</xdr:colOff>
          <xdr:row>9</xdr:row>
          <xdr:rowOff>447675</xdr:rowOff>
        </xdr:to>
        <xdr:sp macro="" textlink="">
          <xdr:nvSpPr>
            <xdr:cNvPr id="19486" name="Group Box 30" hidden="1">
              <a:extLst>
                <a:ext uri="{63B3BB69-23CF-44E3-9099-C40C66FF867C}">
                  <a14:compatExt spid="_x0000_s19486"/>
                </a:ext>
                <a:ext uri="{FF2B5EF4-FFF2-40B4-BE49-F238E27FC236}">
                  <a16:creationId xmlns:a16="http://schemas.microsoft.com/office/drawing/2014/main" id="{00000000-0008-0000-0800-00001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P_T.HA.OT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</xdr:row>
          <xdr:rowOff>171450</xdr:rowOff>
        </xdr:from>
        <xdr:to>
          <xdr:col>3</xdr:col>
          <xdr:colOff>628650</xdr:colOff>
          <xdr:row>5</xdr:row>
          <xdr:rowOff>342900</xdr:rowOff>
        </xdr:to>
        <xdr:sp macro="" textlink="">
          <xdr:nvSpPr>
            <xdr:cNvPr id="19457" name="B_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8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5</xdr:row>
          <xdr:rowOff>152400</xdr:rowOff>
        </xdr:from>
        <xdr:to>
          <xdr:col>4</xdr:col>
          <xdr:colOff>742950</xdr:colOff>
          <xdr:row>5</xdr:row>
          <xdr:rowOff>352425</xdr:rowOff>
        </xdr:to>
        <xdr:sp macro="" textlink="">
          <xdr:nvSpPr>
            <xdr:cNvPr id="19458" name="B_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8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5</xdr:row>
          <xdr:rowOff>142875</xdr:rowOff>
        </xdr:from>
        <xdr:to>
          <xdr:col>5</xdr:col>
          <xdr:colOff>657225</xdr:colOff>
          <xdr:row>5</xdr:row>
          <xdr:rowOff>361950</xdr:rowOff>
        </xdr:to>
        <xdr:sp macro="" textlink="">
          <xdr:nvSpPr>
            <xdr:cNvPr id="19459" name="B_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8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5</xdr:row>
          <xdr:rowOff>171450</xdr:rowOff>
        </xdr:from>
        <xdr:to>
          <xdr:col>6</xdr:col>
          <xdr:colOff>581025</xdr:colOff>
          <xdr:row>5</xdr:row>
          <xdr:rowOff>352425</xdr:rowOff>
        </xdr:to>
        <xdr:sp macro="" textlink="">
          <xdr:nvSpPr>
            <xdr:cNvPr id="19462" name="B_4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8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6</xdr:row>
          <xdr:rowOff>171450</xdr:rowOff>
        </xdr:from>
        <xdr:to>
          <xdr:col>3</xdr:col>
          <xdr:colOff>628650</xdr:colOff>
          <xdr:row>6</xdr:row>
          <xdr:rowOff>352425</xdr:rowOff>
        </xdr:to>
        <xdr:sp macro="" textlink="">
          <xdr:nvSpPr>
            <xdr:cNvPr id="19463" name="B_9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8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6</xdr:row>
          <xdr:rowOff>161925</xdr:rowOff>
        </xdr:from>
        <xdr:to>
          <xdr:col>4</xdr:col>
          <xdr:colOff>742950</xdr:colOff>
          <xdr:row>6</xdr:row>
          <xdr:rowOff>361950</xdr:rowOff>
        </xdr:to>
        <xdr:sp macro="" textlink="">
          <xdr:nvSpPr>
            <xdr:cNvPr id="19464" name="B_10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8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6</xdr:row>
          <xdr:rowOff>152400</xdr:rowOff>
        </xdr:from>
        <xdr:to>
          <xdr:col>5</xdr:col>
          <xdr:colOff>666750</xdr:colOff>
          <xdr:row>6</xdr:row>
          <xdr:rowOff>361950</xdr:rowOff>
        </xdr:to>
        <xdr:sp macro="" textlink="">
          <xdr:nvSpPr>
            <xdr:cNvPr id="19465" name="B_11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8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6</xdr:row>
          <xdr:rowOff>171450</xdr:rowOff>
        </xdr:from>
        <xdr:to>
          <xdr:col>6</xdr:col>
          <xdr:colOff>590550</xdr:colOff>
          <xdr:row>6</xdr:row>
          <xdr:rowOff>361950</xdr:rowOff>
        </xdr:to>
        <xdr:sp macro="" textlink="">
          <xdr:nvSpPr>
            <xdr:cNvPr id="19467" name="B_12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8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9</xdr:row>
          <xdr:rowOff>171450</xdr:rowOff>
        </xdr:from>
        <xdr:to>
          <xdr:col>3</xdr:col>
          <xdr:colOff>628650</xdr:colOff>
          <xdr:row>9</xdr:row>
          <xdr:rowOff>352425</xdr:rowOff>
        </xdr:to>
        <xdr:sp macro="" textlink="">
          <xdr:nvSpPr>
            <xdr:cNvPr id="19483" name="B_33" hidden="1">
              <a:extLst>
                <a:ext uri="{63B3BB69-23CF-44E3-9099-C40C66FF867C}">
                  <a14:compatExt spid="_x0000_s19483"/>
                </a:ext>
                <a:ext uri="{FF2B5EF4-FFF2-40B4-BE49-F238E27FC236}">
                  <a16:creationId xmlns:a16="http://schemas.microsoft.com/office/drawing/2014/main" id="{00000000-0008-0000-0800-00001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9</xdr:row>
          <xdr:rowOff>161925</xdr:rowOff>
        </xdr:from>
        <xdr:to>
          <xdr:col>4</xdr:col>
          <xdr:colOff>742950</xdr:colOff>
          <xdr:row>9</xdr:row>
          <xdr:rowOff>361950</xdr:rowOff>
        </xdr:to>
        <xdr:sp macro="" textlink="">
          <xdr:nvSpPr>
            <xdr:cNvPr id="19484" name="B_34" hidden="1">
              <a:extLst>
                <a:ext uri="{63B3BB69-23CF-44E3-9099-C40C66FF867C}">
                  <a14:compatExt spid="_x0000_s19484"/>
                </a:ext>
                <a:ext uri="{FF2B5EF4-FFF2-40B4-BE49-F238E27FC236}">
                  <a16:creationId xmlns:a16="http://schemas.microsoft.com/office/drawing/2014/main" id="{00000000-0008-0000-0800-00001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9</xdr:row>
          <xdr:rowOff>152400</xdr:rowOff>
        </xdr:from>
        <xdr:to>
          <xdr:col>5</xdr:col>
          <xdr:colOff>666750</xdr:colOff>
          <xdr:row>9</xdr:row>
          <xdr:rowOff>361950</xdr:rowOff>
        </xdr:to>
        <xdr:sp macro="" textlink="">
          <xdr:nvSpPr>
            <xdr:cNvPr id="19485" name="B_35" hidden="1">
              <a:extLst>
                <a:ext uri="{63B3BB69-23CF-44E3-9099-C40C66FF867C}">
                  <a14:compatExt spid="_x0000_s19485"/>
                </a:ext>
                <a:ext uri="{FF2B5EF4-FFF2-40B4-BE49-F238E27FC236}">
                  <a16:creationId xmlns:a16="http://schemas.microsoft.com/office/drawing/2014/main" id="{00000000-0008-0000-0800-00001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5</xdr:row>
          <xdr:rowOff>171450</xdr:rowOff>
        </xdr:from>
        <xdr:to>
          <xdr:col>7</xdr:col>
          <xdr:colOff>666750</xdr:colOff>
          <xdr:row>5</xdr:row>
          <xdr:rowOff>342900</xdr:rowOff>
        </xdr:to>
        <xdr:sp macro="" textlink="">
          <xdr:nvSpPr>
            <xdr:cNvPr id="19488" name="B_5" hidden="1">
              <a:extLst>
                <a:ext uri="{63B3BB69-23CF-44E3-9099-C40C66FF867C}">
                  <a14:compatExt spid="_x0000_s19488"/>
                </a:ext>
                <a:ext uri="{FF2B5EF4-FFF2-40B4-BE49-F238E27FC236}">
                  <a16:creationId xmlns:a16="http://schemas.microsoft.com/office/drawing/2014/main" id="{00000000-0008-0000-0800-00002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5</xdr:row>
          <xdr:rowOff>152400</xdr:rowOff>
        </xdr:from>
        <xdr:to>
          <xdr:col>8</xdr:col>
          <xdr:colOff>762000</xdr:colOff>
          <xdr:row>5</xdr:row>
          <xdr:rowOff>352425</xdr:rowOff>
        </xdr:to>
        <xdr:sp macro="" textlink="">
          <xdr:nvSpPr>
            <xdr:cNvPr id="19489" name="B_6" hidden="1">
              <a:extLst>
                <a:ext uri="{63B3BB69-23CF-44E3-9099-C40C66FF867C}">
                  <a14:compatExt spid="_x0000_s19489"/>
                </a:ext>
                <a:ext uri="{FF2B5EF4-FFF2-40B4-BE49-F238E27FC236}">
                  <a16:creationId xmlns:a16="http://schemas.microsoft.com/office/drawing/2014/main" id="{00000000-0008-0000-0800-00002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5</xdr:row>
          <xdr:rowOff>142875</xdr:rowOff>
        </xdr:from>
        <xdr:to>
          <xdr:col>9</xdr:col>
          <xdr:colOff>638175</xdr:colOff>
          <xdr:row>5</xdr:row>
          <xdr:rowOff>361950</xdr:rowOff>
        </xdr:to>
        <xdr:sp macro="" textlink="">
          <xdr:nvSpPr>
            <xdr:cNvPr id="19490" name="B_7" hidden="1">
              <a:extLst>
                <a:ext uri="{63B3BB69-23CF-44E3-9099-C40C66FF867C}">
                  <a14:compatExt spid="_x0000_s19490"/>
                </a:ext>
                <a:ext uri="{FF2B5EF4-FFF2-40B4-BE49-F238E27FC236}">
                  <a16:creationId xmlns:a16="http://schemas.microsoft.com/office/drawing/2014/main" id="{00000000-0008-0000-0800-00002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5</xdr:row>
          <xdr:rowOff>57150</xdr:rowOff>
        </xdr:from>
        <xdr:to>
          <xdr:col>10</xdr:col>
          <xdr:colOff>752475</xdr:colOff>
          <xdr:row>5</xdr:row>
          <xdr:rowOff>419100</xdr:rowOff>
        </xdr:to>
        <xdr:sp macro="" textlink="">
          <xdr:nvSpPr>
            <xdr:cNvPr id="19491" name="Group Box 35" hidden="1">
              <a:extLst>
                <a:ext uri="{63B3BB69-23CF-44E3-9099-C40C66FF867C}">
                  <a14:compatExt spid="_x0000_s19491"/>
                </a:ext>
                <a:ext uri="{FF2B5EF4-FFF2-40B4-BE49-F238E27FC236}">
                  <a16:creationId xmlns:a16="http://schemas.microsoft.com/office/drawing/2014/main" id="{00000000-0008-0000-0800-00002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I_T.HA.FL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5</xdr:row>
          <xdr:rowOff>171450</xdr:rowOff>
        </xdr:from>
        <xdr:to>
          <xdr:col>10</xdr:col>
          <xdr:colOff>581025</xdr:colOff>
          <xdr:row>5</xdr:row>
          <xdr:rowOff>352425</xdr:rowOff>
        </xdr:to>
        <xdr:sp macro="" textlink="">
          <xdr:nvSpPr>
            <xdr:cNvPr id="19492" name="B_8" hidden="1">
              <a:extLst>
                <a:ext uri="{63B3BB69-23CF-44E3-9099-C40C66FF867C}">
                  <a14:compatExt spid="_x0000_s19492"/>
                </a:ext>
                <a:ext uri="{FF2B5EF4-FFF2-40B4-BE49-F238E27FC236}">
                  <a16:creationId xmlns:a16="http://schemas.microsoft.com/office/drawing/2014/main" id="{00000000-0008-0000-0800-00002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6</xdr:row>
          <xdr:rowOff>171450</xdr:rowOff>
        </xdr:from>
        <xdr:to>
          <xdr:col>7</xdr:col>
          <xdr:colOff>666750</xdr:colOff>
          <xdr:row>6</xdr:row>
          <xdr:rowOff>352425</xdr:rowOff>
        </xdr:to>
        <xdr:sp macro="" textlink="">
          <xdr:nvSpPr>
            <xdr:cNvPr id="19493" name="B_13" hidden="1">
              <a:extLst>
                <a:ext uri="{63B3BB69-23CF-44E3-9099-C40C66FF867C}">
                  <a14:compatExt spid="_x0000_s19493"/>
                </a:ext>
                <a:ext uri="{FF2B5EF4-FFF2-40B4-BE49-F238E27FC236}">
                  <a16:creationId xmlns:a16="http://schemas.microsoft.com/office/drawing/2014/main" id="{00000000-0008-0000-0800-00002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6</xdr:row>
          <xdr:rowOff>161925</xdr:rowOff>
        </xdr:from>
        <xdr:to>
          <xdr:col>8</xdr:col>
          <xdr:colOff>771525</xdr:colOff>
          <xdr:row>6</xdr:row>
          <xdr:rowOff>361950</xdr:rowOff>
        </xdr:to>
        <xdr:sp macro="" textlink="">
          <xdr:nvSpPr>
            <xdr:cNvPr id="19494" name="B_14" hidden="1">
              <a:extLst>
                <a:ext uri="{63B3BB69-23CF-44E3-9099-C40C66FF867C}">
                  <a14:compatExt spid="_x0000_s19494"/>
                </a:ext>
                <a:ext uri="{FF2B5EF4-FFF2-40B4-BE49-F238E27FC236}">
                  <a16:creationId xmlns:a16="http://schemas.microsoft.com/office/drawing/2014/main" id="{00000000-0008-0000-0800-00002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6</xdr:row>
          <xdr:rowOff>152400</xdr:rowOff>
        </xdr:from>
        <xdr:to>
          <xdr:col>9</xdr:col>
          <xdr:colOff>647700</xdr:colOff>
          <xdr:row>6</xdr:row>
          <xdr:rowOff>361950</xdr:rowOff>
        </xdr:to>
        <xdr:sp macro="" textlink="">
          <xdr:nvSpPr>
            <xdr:cNvPr id="19495" name="B_15" hidden="1">
              <a:extLst>
                <a:ext uri="{63B3BB69-23CF-44E3-9099-C40C66FF867C}">
                  <a14:compatExt spid="_x0000_s19495"/>
                </a:ext>
                <a:ext uri="{FF2B5EF4-FFF2-40B4-BE49-F238E27FC236}">
                  <a16:creationId xmlns:a16="http://schemas.microsoft.com/office/drawing/2014/main" id="{00000000-0008-0000-0800-00002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6</xdr:row>
          <xdr:rowOff>57150</xdr:rowOff>
        </xdr:from>
        <xdr:to>
          <xdr:col>10</xdr:col>
          <xdr:colOff>752475</xdr:colOff>
          <xdr:row>6</xdr:row>
          <xdr:rowOff>428625</xdr:rowOff>
        </xdr:to>
        <xdr:sp macro="" textlink="">
          <xdr:nvSpPr>
            <xdr:cNvPr id="19496" name="Group Box 40" hidden="1">
              <a:extLst>
                <a:ext uri="{63B3BB69-23CF-44E3-9099-C40C66FF867C}">
                  <a14:compatExt spid="_x0000_s19496"/>
                </a:ext>
                <a:ext uri="{FF2B5EF4-FFF2-40B4-BE49-F238E27FC236}">
                  <a16:creationId xmlns:a16="http://schemas.microsoft.com/office/drawing/2014/main" id="{00000000-0008-0000-0800-00002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I_T.HA.TA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6</xdr:row>
          <xdr:rowOff>171450</xdr:rowOff>
        </xdr:from>
        <xdr:to>
          <xdr:col>10</xdr:col>
          <xdr:colOff>590550</xdr:colOff>
          <xdr:row>6</xdr:row>
          <xdr:rowOff>361950</xdr:rowOff>
        </xdr:to>
        <xdr:sp macro="" textlink="">
          <xdr:nvSpPr>
            <xdr:cNvPr id="19497" name="B_16" hidden="1">
              <a:extLst>
                <a:ext uri="{63B3BB69-23CF-44E3-9099-C40C66FF867C}">
                  <a14:compatExt spid="_x0000_s19497"/>
                </a:ext>
                <a:ext uri="{FF2B5EF4-FFF2-40B4-BE49-F238E27FC236}">
                  <a16:creationId xmlns:a16="http://schemas.microsoft.com/office/drawing/2014/main" id="{00000000-0008-0000-0800-00002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7</xdr:row>
          <xdr:rowOff>152400</xdr:rowOff>
        </xdr:from>
        <xdr:to>
          <xdr:col>7</xdr:col>
          <xdr:colOff>666750</xdr:colOff>
          <xdr:row>7</xdr:row>
          <xdr:rowOff>323850</xdr:rowOff>
        </xdr:to>
        <xdr:sp macro="" textlink="">
          <xdr:nvSpPr>
            <xdr:cNvPr id="19498" name="B_21" hidden="1">
              <a:extLst>
                <a:ext uri="{63B3BB69-23CF-44E3-9099-C40C66FF867C}">
                  <a14:compatExt spid="_x0000_s19498"/>
                </a:ext>
                <a:ext uri="{FF2B5EF4-FFF2-40B4-BE49-F238E27FC236}">
                  <a16:creationId xmlns:a16="http://schemas.microsoft.com/office/drawing/2014/main" id="{00000000-0008-0000-0800-00002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7</xdr:row>
          <xdr:rowOff>133350</xdr:rowOff>
        </xdr:from>
        <xdr:to>
          <xdr:col>8</xdr:col>
          <xdr:colOff>771525</xdr:colOff>
          <xdr:row>7</xdr:row>
          <xdr:rowOff>333375</xdr:rowOff>
        </xdr:to>
        <xdr:sp macro="" textlink="">
          <xdr:nvSpPr>
            <xdr:cNvPr id="19499" name="B_22" hidden="1">
              <a:extLst>
                <a:ext uri="{63B3BB69-23CF-44E3-9099-C40C66FF867C}">
                  <a14:compatExt spid="_x0000_s19499"/>
                </a:ext>
                <a:ext uri="{FF2B5EF4-FFF2-40B4-BE49-F238E27FC236}">
                  <a16:creationId xmlns:a16="http://schemas.microsoft.com/office/drawing/2014/main" id="{00000000-0008-0000-0800-00002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7</xdr:row>
          <xdr:rowOff>133350</xdr:rowOff>
        </xdr:from>
        <xdr:to>
          <xdr:col>9</xdr:col>
          <xdr:colOff>647700</xdr:colOff>
          <xdr:row>7</xdr:row>
          <xdr:rowOff>342900</xdr:rowOff>
        </xdr:to>
        <xdr:sp macro="" textlink="">
          <xdr:nvSpPr>
            <xdr:cNvPr id="19500" name="B_23" hidden="1">
              <a:extLst>
                <a:ext uri="{63B3BB69-23CF-44E3-9099-C40C66FF867C}">
                  <a14:compatExt spid="_x0000_s19500"/>
                </a:ext>
                <a:ext uri="{FF2B5EF4-FFF2-40B4-BE49-F238E27FC236}">
                  <a16:creationId xmlns:a16="http://schemas.microsoft.com/office/drawing/2014/main" id="{00000000-0008-0000-0800-00002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7</xdr:row>
          <xdr:rowOff>57150</xdr:rowOff>
        </xdr:from>
        <xdr:to>
          <xdr:col>10</xdr:col>
          <xdr:colOff>752475</xdr:colOff>
          <xdr:row>7</xdr:row>
          <xdr:rowOff>428625</xdr:rowOff>
        </xdr:to>
        <xdr:sp macro="" textlink="">
          <xdr:nvSpPr>
            <xdr:cNvPr id="19501" name="Group Box 45" hidden="1">
              <a:extLst>
                <a:ext uri="{63B3BB69-23CF-44E3-9099-C40C66FF867C}">
                  <a14:compatExt spid="_x0000_s19501"/>
                </a:ext>
                <a:ext uri="{FF2B5EF4-FFF2-40B4-BE49-F238E27FC236}">
                  <a16:creationId xmlns:a16="http://schemas.microsoft.com/office/drawing/2014/main" id="{00000000-0008-0000-0800-00002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I_T.HA.MA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7</xdr:row>
          <xdr:rowOff>152400</xdr:rowOff>
        </xdr:from>
        <xdr:to>
          <xdr:col>10</xdr:col>
          <xdr:colOff>590550</xdr:colOff>
          <xdr:row>7</xdr:row>
          <xdr:rowOff>333375</xdr:rowOff>
        </xdr:to>
        <xdr:sp macro="" textlink="">
          <xdr:nvSpPr>
            <xdr:cNvPr id="19502" name="B_24" hidden="1">
              <a:extLst>
                <a:ext uri="{63B3BB69-23CF-44E3-9099-C40C66FF867C}">
                  <a14:compatExt spid="_x0000_s19502"/>
                </a:ext>
                <a:ext uri="{FF2B5EF4-FFF2-40B4-BE49-F238E27FC236}">
                  <a16:creationId xmlns:a16="http://schemas.microsoft.com/office/drawing/2014/main" id="{00000000-0008-0000-0800-00002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8</xdr:row>
          <xdr:rowOff>152400</xdr:rowOff>
        </xdr:from>
        <xdr:to>
          <xdr:col>7</xdr:col>
          <xdr:colOff>676275</xdr:colOff>
          <xdr:row>8</xdr:row>
          <xdr:rowOff>323850</xdr:rowOff>
        </xdr:to>
        <xdr:sp macro="" textlink="">
          <xdr:nvSpPr>
            <xdr:cNvPr id="19503" name="B_29" hidden="1">
              <a:extLst>
                <a:ext uri="{63B3BB69-23CF-44E3-9099-C40C66FF867C}">
                  <a14:compatExt spid="_x0000_s19503"/>
                </a:ext>
                <a:ext uri="{FF2B5EF4-FFF2-40B4-BE49-F238E27FC236}">
                  <a16:creationId xmlns:a16="http://schemas.microsoft.com/office/drawing/2014/main" id="{00000000-0008-0000-0800-00002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8</xdr:row>
          <xdr:rowOff>133350</xdr:rowOff>
        </xdr:from>
        <xdr:to>
          <xdr:col>8</xdr:col>
          <xdr:colOff>781050</xdr:colOff>
          <xdr:row>8</xdr:row>
          <xdr:rowOff>333375</xdr:rowOff>
        </xdr:to>
        <xdr:sp macro="" textlink="">
          <xdr:nvSpPr>
            <xdr:cNvPr id="19504" name="B_30" hidden="1">
              <a:extLst>
                <a:ext uri="{63B3BB69-23CF-44E3-9099-C40C66FF867C}">
                  <a14:compatExt spid="_x0000_s19504"/>
                </a:ext>
                <a:ext uri="{FF2B5EF4-FFF2-40B4-BE49-F238E27FC236}">
                  <a16:creationId xmlns:a16="http://schemas.microsoft.com/office/drawing/2014/main" id="{00000000-0008-0000-0800-00003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8</xdr:row>
          <xdr:rowOff>133350</xdr:rowOff>
        </xdr:from>
        <xdr:to>
          <xdr:col>9</xdr:col>
          <xdr:colOff>657225</xdr:colOff>
          <xdr:row>8</xdr:row>
          <xdr:rowOff>342900</xdr:rowOff>
        </xdr:to>
        <xdr:sp macro="" textlink="">
          <xdr:nvSpPr>
            <xdr:cNvPr id="19505" name="B_31" hidden="1">
              <a:extLst>
                <a:ext uri="{63B3BB69-23CF-44E3-9099-C40C66FF867C}">
                  <a14:compatExt spid="_x0000_s19505"/>
                </a:ext>
                <a:ext uri="{FF2B5EF4-FFF2-40B4-BE49-F238E27FC236}">
                  <a16:creationId xmlns:a16="http://schemas.microsoft.com/office/drawing/2014/main" id="{00000000-0008-0000-0800-00003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8</xdr:row>
          <xdr:rowOff>57150</xdr:rowOff>
        </xdr:from>
        <xdr:to>
          <xdr:col>10</xdr:col>
          <xdr:colOff>771525</xdr:colOff>
          <xdr:row>8</xdr:row>
          <xdr:rowOff>428625</xdr:rowOff>
        </xdr:to>
        <xdr:sp macro="" textlink="">
          <xdr:nvSpPr>
            <xdr:cNvPr id="19506" name="Group Box 50" hidden="1">
              <a:extLst>
                <a:ext uri="{63B3BB69-23CF-44E3-9099-C40C66FF867C}">
                  <a14:compatExt spid="_x0000_s19506"/>
                </a:ext>
                <a:ext uri="{FF2B5EF4-FFF2-40B4-BE49-F238E27FC236}">
                  <a16:creationId xmlns:a16="http://schemas.microsoft.com/office/drawing/2014/main" id="{00000000-0008-0000-0800-00003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I_T.HA.TO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381000</xdr:colOff>
          <xdr:row>8</xdr:row>
          <xdr:rowOff>152400</xdr:rowOff>
        </xdr:from>
        <xdr:to>
          <xdr:col>10</xdr:col>
          <xdr:colOff>600075</xdr:colOff>
          <xdr:row>8</xdr:row>
          <xdr:rowOff>333375</xdr:rowOff>
        </xdr:to>
        <xdr:sp macro="" textlink="">
          <xdr:nvSpPr>
            <xdr:cNvPr id="19507" name="B_32" hidden="1">
              <a:extLst>
                <a:ext uri="{63B3BB69-23CF-44E3-9099-C40C66FF867C}">
                  <a14:compatExt spid="_x0000_s19507"/>
                </a:ext>
                <a:ext uri="{FF2B5EF4-FFF2-40B4-BE49-F238E27FC236}">
                  <a16:creationId xmlns:a16="http://schemas.microsoft.com/office/drawing/2014/main" id="{00000000-0008-0000-0800-00003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9</xdr:row>
          <xdr:rowOff>171450</xdr:rowOff>
        </xdr:from>
        <xdr:to>
          <xdr:col>7</xdr:col>
          <xdr:colOff>695325</xdr:colOff>
          <xdr:row>9</xdr:row>
          <xdr:rowOff>352425</xdr:rowOff>
        </xdr:to>
        <xdr:sp macro="" textlink="">
          <xdr:nvSpPr>
            <xdr:cNvPr id="19508" name="B_37" hidden="1">
              <a:extLst>
                <a:ext uri="{63B3BB69-23CF-44E3-9099-C40C66FF867C}">
                  <a14:compatExt spid="_x0000_s19508"/>
                </a:ext>
                <a:ext uri="{FF2B5EF4-FFF2-40B4-BE49-F238E27FC236}">
                  <a16:creationId xmlns:a16="http://schemas.microsoft.com/office/drawing/2014/main" id="{00000000-0008-0000-0800-00003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9</xdr:row>
          <xdr:rowOff>161925</xdr:rowOff>
        </xdr:from>
        <xdr:to>
          <xdr:col>8</xdr:col>
          <xdr:colOff>790575</xdr:colOff>
          <xdr:row>9</xdr:row>
          <xdr:rowOff>361950</xdr:rowOff>
        </xdr:to>
        <xdr:sp macro="" textlink="">
          <xdr:nvSpPr>
            <xdr:cNvPr id="19509" name="B_38" hidden="1">
              <a:extLst>
                <a:ext uri="{63B3BB69-23CF-44E3-9099-C40C66FF867C}">
                  <a14:compatExt spid="_x0000_s19509"/>
                </a:ext>
                <a:ext uri="{FF2B5EF4-FFF2-40B4-BE49-F238E27FC236}">
                  <a16:creationId xmlns:a16="http://schemas.microsoft.com/office/drawing/2014/main" id="{00000000-0008-0000-0800-00003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9</xdr:row>
          <xdr:rowOff>152400</xdr:rowOff>
        </xdr:from>
        <xdr:to>
          <xdr:col>9</xdr:col>
          <xdr:colOff>666750</xdr:colOff>
          <xdr:row>9</xdr:row>
          <xdr:rowOff>361950</xdr:rowOff>
        </xdr:to>
        <xdr:sp macro="" textlink="">
          <xdr:nvSpPr>
            <xdr:cNvPr id="19510" name="B_39" hidden="1">
              <a:extLst>
                <a:ext uri="{63B3BB69-23CF-44E3-9099-C40C66FF867C}">
                  <a14:compatExt spid="_x0000_s19510"/>
                </a:ext>
                <a:ext uri="{FF2B5EF4-FFF2-40B4-BE49-F238E27FC236}">
                  <a16:creationId xmlns:a16="http://schemas.microsoft.com/office/drawing/2014/main" id="{00000000-0008-0000-0800-00003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85725</xdr:rowOff>
        </xdr:from>
        <xdr:to>
          <xdr:col>10</xdr:col>
          <xdr:colOff>781050</xdr:colOff>
          <xdr:row>9</xdr:row>
          <xdr:rowOff>447675</xdr:rowOff>
        </xdr:to>
        <xdr:sp macro="" textlink="">
          <xdr:nvSpPr>
            <xdr:cNvPr id="19511" name="Group Box 55" hidden="1">
              <a:extLst>
                <a:ext uri="{63B3BB69-23CF-44E3-9099-C40C66FF867C}">
                  <a14:compatExt spid="_x0000_s19511"/>
                </a:ext>
                <a:ext uri="{FF2B5EF4-FFF2-40B4-BE49-F238E27FC236}">
                  <a16:creationId xmlns:a16="http://schemas.microsoft.com/office/drawing/2014/main" id="{00000000-0008-0000-0800-00003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I_T.HA.OT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9</xdr:row>
          <xdr:rowOff>171450</xdr:rowOff>
        </xdr:from>
        <xdr:to>
          <xdr:col>10</xdr:col>
          <xdr:colOff>609600</xdr:colOff>
          <xdr:row>9</xdr:row>
          <xdr:rowOff>361950</xdr:rowOff>
        </xdr:to>
        <xdr:sp macro="" textlink="">
          <xdr:nvSpPr>
            <xdr:cNvPr id="19512" name="B_40" hidden="1">
              <a:extLst>
                <a:ext uri="{63B3BB69-23CF-44E3-9099-C40C66FF867C}">
                  <a14:compatExt spid="_x0000_s19512"/>
                </a:ext>
                <a:ext uri="{FF2B5EF4-FFF2-40B4-BE49-F238E27FC236}">
                  <a16:creationId xmlns:a16="http://schemas.microsoft.com/office/drawing/2014/main" id="{00000000-0008-0000-0800-00003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12</xdr:row>
          <xdr:rowOff>152400</xdr:rowOff>
        </xdr:from>
        <xdr:to>
          <xdr:col>3</xdr:col>
          <xdr:colOff>628650</xdr:colOff>
          <xdr:row>12</xdr:row>
          <xdr:rowOff>323850</xdr:rowOff>
        </xdr:to>
        <xdr:sp macro="" textlink="">
          <xdr:nvSpPr>
            <xdr:cNvPr id="19513" name="B_41" hidden="1">
              <a:extLst>
                <a:ext uri="{63B3BB69-23CF-44E3-9099-C40C66FF867C}">
                  <a14:compatExt spid="_x0000_s19513"/>
                </a:ext>
                <a:ext uri="{FF2B5EF4-FFF2-40B4-BE49-F238E27FC236}">
                  <a16:creationId xmlns:a16="http://schemas.microsoft.com/office/drawing/2014/main" id="{00000000-0008-0000-0800-00003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12</xdr:row>
          <xdr:rowOff>133350</xdr:rowOff>
        </xdr:from>
        <xdr:to>
          <xdr:col>4</xdr:col>
          <xdr:colOff>742950</xdr:colOff>
          <xdr:row>12</xdr:row>
          <xdr:rowOff>333375</xdr:rowOff>
        </xdr:to>
        <xdr:sp macro="" textlink="">
          <xdr:nvSpPr>
            <xdr:cNvPr id="19514" name="B_42" hidden="1">
              <a:extLst>
                <a:ext uri="{63B3BB69-23CF-44E3-9099-C40C66FF867C}">
                  <a14:compatExt spid="_x0000_s19514"/>
                </a:ext>
                <a:ext uri="{FF2B5EF4-FFF2-40B4-BE49-F238E27FC236}">
                  <a16:creationId xmlns:a16="http://schemas.microsoft.com/office/drawing/2014/main" id="{00000000-0008-0000-0800-00003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12</xdr:row>
          <xdr:rowOff>133350</xdr:rowOff>
        </xdr:from>
        <xdr:to>
          <xdr:col>5</xdr:col>
          <xdr:colOff>666750</xdr:colOff>
          <xdr:row>12</xdr:row>
          <xdr:rowOff>342900</xdr:rowOff>
        </xdr:to>
        <xdr:sp macro="" textlink="">
          <xdr:nvSpPr>
            <xdr:cNvPr id="19515" name="B_43" hidden="1">
              <a:extLst>
                <a:ext uri="{63B3BB69-23CF-44E3-9099-C40C66FF867C}">
                  <a14:compatExt spid="_x0000_s19515"/>
                </a:ext>
                <a:ext uri="{FF2B5EF4-FFF2-40B4-BE49-F238E27FC236}">
                  <a16:creationId xmlns:a16="http://schemas.microsoft.com/office/drawing/2014/main" id="{00000000-0008-0000-0800-00003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12</xdr:row>
          <xdr:rowOff>57150</xdr:rowOff>
        </xdr:from>
        <xdr:to>
          <xdr:col>6</xdr:col>
          <xdr:colOff>676275</xdr:colOff>
          <xdr:row>12</xdr:row>
          <xdr:rowOff>428625</xdr:rowOff>
        </xdr:to>
        <xdr:sp macro="" textlink="">
          <xdr:nvSpPr>
            <xdr:cNvPr id="19516" name="Group Box 60" hidden="1">
              <a:extLst>
                <a:ext uri="{63B3BB69-23CF-44E3-9099-C40C66FF867C}">
                  <a14:compatExt spid="_x0000_s19516"/>
                </a:ext>
                <a:ext uri="{FF2B5EF4-FFF2-40B4-BE49-F238E27FC236}">
                  <a16:creationId xmlns:a16="http://schemas.microsoft.com/office/drawing/2014/main" id="{00000000-0008-0000-0800-00003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P_T.BP.FL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6</xdr:col>
          <xdr:colOff>590550</xdr:colOff>
          <xdr:row>12</xdr:row>
          <xdr:rowOff>333375</xdr:rowOff>
        </xdr:to>
        <xdr:sp macro="" textlink="">
          <xdr:nvSpPr>
            <xdr:cNvPr id="19517" name="B_44" hidden="1">
              <a:extLst>
                <a:ext uri="{63B3BB69-23CF-44E3-9099-C40C66FF867C}">
                  <a14:compatExt spid="_x0000_s19517"/>
                </a:ext>
                <a:ext uri="{FF2B5EF4-FFF2-40B4-BE49-F238E27FC236}">
                  <a16:creationId xmlns:a16="http://schemas.microsoft.com/office/drawing/2014/main" id="{00000000-0008-0000-0800-00003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13</xdr:row>
          <xdr:rowOff>152400</xdr:rowOff>
        </xdr:from>
        <xdr:to>
          <xdr:col>3</xdr:col>
          <xdr:colOff>628650</xdr:colOff>
          <xdr:row>13</xdr:row>
          <xdr:rowOff>323850</xdr:rowOff>
        </xdr:to>
        <xdr:sp macro="" textlink="">
          <xdr:nvSpPr>
            <xdr:cNvPr id="19518" name="B_49" hidden="1">
              <a:extLst>
                <a:ext uri="{63B3BB69-23CF-44E3-9099-C40C66FF867C}">
                  <a14:compatExt spid="_x0000_s19518"/>
                </a:ext>
                <a:ext uri="{FF2B5EF4-FFF2-40B4-BE49-F238E27FC236}">
                  <a16:creationId xmlns:a16="http://schemas.microsoft.com/office/drawing/2014/main" id="{00000000-0008-0000-0800-00003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13</xdr:row>
          <xdr:rowOff>133350</xdr:rowOff>
        </xdr:from>
        <xdr:to>
          <xdr:col>4</xdr:col>
          <xdr:colOff>742950</xdr:colOff>
          <xdr:row>13</xdr:row>
          <xdr:rowOff>333375</xdr:rowOff>
        </xdr:to>
        <xdr:sp macro="" textlink="">
          <xdr:nvSpPr>
            <xdr:cNvPr id="19519" name="B_50" hidden="1">
              <a:extLst>
                <a:ext uri="{63B3BB69-23CF-44E3-9099-C40C66FF867C}">
                  <a14:compatExt spid="_x0000_s19519"/>
                </a:ext>
                <a:ext uri="{FF2B5EF4-FFF2-40B4-BE49-F238E27FC236}">
                  <a16:creationId xmlns:a16="http://schemas.microsoft.com/office/drawing/2014/main" id="{00000000-0008-0000-0800-00003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13</xdr:row>
          <xdr:rowOff>133350</xdr:rowOff>
        </xdr:from>
        <xdr:to>
          <xdr:col>5</xdr:col>
          <xdr:colOff>666750</xdr:colOff>
          <xdr:row>13</xdr:row>
          <xdr:rowOff>342900</xdr:rowOff>
        </xdr:to>
        <xdr:sp macro="" textlink="">
          <xdr:nvSpPr>
            <xdr:cNvPr id="19520" name="B_51" hidden="1">
              <a:extLst>
                <a:ext uri="{63B3BB69-23CF-44E3-9099-C40C66FF867C}">
                  <a14:compatExt spid="_x0000_s19520"/>
                </a:ext>
                <a:ext uri="{FF2B5EF4-FFF2-40B4-BE49-F238E27FC236}">
                  <a16:creationId xmlns:a16="http://schemas.microsoft.com/office/drawing/2014/main" id="{00000000-0008-0000-0800-00004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13</xdr:row>
          <xdr:rowOff>57150</xdr:rowOff>
        </xdr:from>
        <xdr:to>
          <xdr:col>6</xdr:col>
          <xdr:colOff>676275</xdr:colOff>
          <xdr:row>13</xdr:row>
          <xdr:rowOff>428625</xdr:rowOff>
        </xdr:to>
        <xdr:sp macro="" textlink="">
          <xdr:nvSpPr>
            <xdr:cNvPr id="19521" name="Group Box 65" hidden="1">
              <a:extLst>
                <a:ext uri="{63B3BB69-23CF-44E3-9099-C40C66FF867C}">
                  <a14:compatExt spid="_x0000_s19521"/>
                </a:ext>
                <a:ext uri="{FF2B5EF4-FFF2-40B4-BE49-F238E27FC236}">
                  <a16:creationId xmlns:a16="http://schemas.microsoft.com/office/drawing/2014/main" id="{00000000-0008-0000-0800-00004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P_T.BP.TA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13</xdr:row>
          <xdr:rowOff>152400</xdr:rowOff>
        </xdr:from>
        <xdr:to>
          <xdr:col>6</xdr:col>
          <xdr:colOff>590550</xdr:colOff>
          <xdr:row>13</xdr:row>
          <xdr:rowOff>333375</xdr:rowOff>
        </xdr:to>
        <xdr:sp macro="" textlink="">
          <xdr:nvSpPr>
            <xdr:cNvPr id="19522" name="B_52" hidden="1">
              <a:extLst>
                <a:ext uri="{63B3BB69-23CF-44E3-9099-C40C66FF867C}">
                  <a14:compatExt spid="_x0000_s19522"/>
                </a:ext>
                <a:ext uri="{FF2B5EF4-FFF2-40B4-BE49-F238E27FC236}">
                  <a16:creationId xmlns:a16="http://schemas.microsoft.com/office/drawing/2014/main" id="{00000000-0008-0000-0800-00004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14</xdr:row>
          <xdr:rowOff>133350</xdr:rowOff>
        </xdr:from>
        <xdr:to>
          <xdr:col>3</xdr:col>
          <xdr:colOff>628650</xdr:colOff>
          <xdr:row>14</xdr:row>
          <xdr:rowOff>314325</xdr:rowOff>
        </xdr:to>
        <xdr:sp macro="" textlink="">
          <xdr:nvSpPr>
            <xdr:cNvPr id="19523" name="B_57" hidden="1">
              <a:extLst>
                <a:ext uri="{63B3BB69-23CF-44E3-9099-C40C66FF867C}">
                  <a14:compatExt spid="_x0000_s19523"/>
                </a:ext>
                <a:ext uri="{FF2B5EF4-FFF2-40B4-BE49-F238E27FC236}">
                  <a16:creationId xmlns:a16="http://schemas.microsoft.com/office/drawing/2014/main" id="{00000000-0008-0000-0800-00004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14</xdr:row>
          <xdr:rowOff>123825</xdr:rowOff>
        </xdr:from>
        <xdr:to>
          <xdr:col>4</xdr:col>
          <xdr:colOff>742950</xdr:colOff>
          <xdr:row>14</xdr:row>
          <xdr:rowOff>323850</xdr:rowOff>
        </xdr:to>
        <xdr:sp macro="" textlink="">
          <xdr:nvSpPr>
            <xdr:cNvPr id="19524" name="B_58" hidden="1">
              <a:extLst>
                <a:ext uri="{63B3BB69-23CF-44E3-9099-C40C66FF867C}">
                  <a14:compatExt spid="_x0000_s19524"/>
                </a:ext>
                <a:ext uri="{FF2B5EF4-FFF2-40B4-BE49-F238E27FC236}">
                  <a16:creationId xmlns:a16="http://schemas.microsoft.com/office/drawing/2014/main" id="{00000000-0008-0000-0800-00004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14</xdr:row>
          <xdr:rowOff>114300</xdr:rowOff>
        </xdr:from>
        <xdr:to>
          <xdr:col>5</xdr:col>
          <xdr:colOff>666750</xdr:colOff>
          <xdr:row>14</xdr:row>
          <xdr:rowOff>323850</xdr:rowOff>
        </xdr:to>
        <xdr:sp macro="" textlink="">
          <xdr:nvSpPr>
            <xdr:cNvPr id="19525" name="B_59" hidden="1">
              <a:extLst>
                <a:ext uri="{63B3BB69-23CF-44E3-9099-C40C66FF867C}">
                  <a14:compatExt spid="_x0000_s19525"/>
                </a:ext>
                <a:ext uri="{FF2B5EF4-FFF2-40B4-BE49-F238E27FC236}">
                  <a16:creationId xmlns:a16="http://schemas.microsoft.com/office/drawing/2014/main" id="{00000000-0008-0000-0800-00004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14</xdr:row>
          <xdr:rowOff>47625</xdr:rowOff>
        </xdr:from>
        <xdr:to>
          <xdr:col>6</xdr:col>
          <xdr:colOff>676275</xdr:colOff>
          <xdr:row>14</xdr:row>
          <xdr:rowOff>409575</xdr:rowOff>
        </xdr:to>
        <xdr:sp macro="" textlink="">
          <xdr:nvSpPr>
            <xdr:cNvPr id="19526" name="Group Box 70" hidden="1">
              <a:extLst>
                <a:ext uri="{63B3BB69-23CF-44E3-9099-C40C66FF867C}">
                  <a14:compatExt spid="_x0000_s19526"/>
                </a:ext>
                <a:ext uri="{FF2B5EF4-FFF2-40B4-BE49-F238E27FC236}">
                  <a16:creationId xmlns:a16="http://schemas.microsoft.com/office/drawing/2014/main" id="{00000000-0008-0000-0800-00004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P_T.BP.MA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14</xdr:row>
          <xdr:rowOff>133350</xdr:rowOff>
        </xdr:from>
        <xdr:to>
          <xdr:col>6</xdr:col>
          <xdr:colOff>590550</xdr:colOff>
          <xdr:row>14</xdr:row>
          <xdr:rowOff>323850</xdr:rowOff>
        </xdr:to>
        <xdr:sp macro="" textlink="">
          <xdr:nvSpPr>
            <xdr:cNvPr id="19527" name="B_60" hidden="1">
              <a:extLst>
                <a:ext uri="{63B3BB69-23CF-44E3-9099-C40C66FF867C}">
                  <a14:compatExt spid="_x0000_s19527"/>
                </a:ext>
                <a:ext uri="{FF2B5EF4-FFF2-40B4-BE49-F238E27FC236}">
                  <a16:creationId xmlns:a16="http://schemas.microsoft.com/office/drawing/2014/main" id="{00000000-0008-0000-0800-00004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15</xdr:row>
          <xdr:rowOff>133350</xdr:rowOff>
        </xdr:from>
        <xdr:to>
          <xdr:col>3</xdr:col>
          <xdr:colOff>628650</xdr:colOff>
          <xdr:row>15</xdr:row>
          <xdr:rowOff>304800</xdr:rowOff>
        </xdr:to>
        <xdr:sp macro="" textlink="">
          <xdr:nvSpPr>
            <xdr:cNvPr id="19528" name="B_65" hidden="1">
              <a:extLst>
                <a:ext uri="{63B3BB69-23CF-44E3-9099-C40C66FF867C}">
                  <a14:compatExt spid="_x0000_s19528"/>
                </a:ext>
                <a:ext uri="{FF2B5EF4-FFF2-40B4-BE49-F238E27FC236}">
                  <a16:creationId xmlns:a16="http://schemas.microsoft.com/office/drawing/2014/main" id="{00000000-0008-0000-0800-00004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15</xdr:row>
          <xdr:rowOff>114300</xdr:rowOff>
        </xdr:from>
        <xdr:to>
          <xdr:col>4</xdr:col>
          <xdr:colOff>742950</xdr:colOff>
          <xdr:row>15</xdr:row>
          <xdr:rowOff>314325</xdr:rowOff>
        </xdr:to>
        <xdr:sp macro="" textlink="">
          <xdr:nvSpPr>
            <xdr:cNvPr id="19529" name="B_66" hidden="1">
              <a:extLst>
                <a:ext uri="{63B3BB69-23CF-44E3-9099-C40C66FF867C}">
                  <a14:compatExt spid="_x0000_s19529"/>
                </a:ext>
                <a:ext uri="{FF2B5EF4-FFF2-40B4-BE49-F238E27FC236}">
                  <a16:creationId xmlns:a16="http://schemas.microsoft.com/office/drawing/2014/main" id="{00000000-0008-0000-0800-00004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15</xdr:row>
          <xdr:rowOff>104775</xdr:rowOff>
        </xdr:from>
        <xdr:to>
          <xdr:col>5</xdr:col>
          <xdr:colOff>666750</xdr:colOff>
          <xdr:row>15</xdr:row>
          <xdr:rowOff>323850</xdr:rowOff>
        </xdr:to>
        <xdr:sp macro="" textlink="">
          <xdr:nvSpPr>
            <xdr:cNvPr id="19530" name="B_67" hidden="1">
              <a:extLst>
                <a:ext uri="{63B3BB69-23CF-44E3-9099-C40C66FF867C}">
                  <a14:compatExt spid="_x0000_s19530"/>
                </a:ext>
                <a:ext uri="{FF2B5EF4-FFF2-40B4-BE49-F238E27FC236}">
                  <a16:creationId xmlns:a16="http://schemas.microsoft.com/office/drawing/2014/main" id="{00000000-0008-0000-0800-00004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15</xdr:row>
          <xdr:rowOff>38100</xdr:rowOff>
        </xdr:from>
        <xdr:to>
          <xdr:col>6</xdr:col>
          <xdr:colOff>676275</xdr:colOff>
          <xdr:row>15</xdr:row>
          <xdr:rowOff>400050</xdr:rowOff>
        </xdr:to>
        <xdr:sp macro="" textlink="">
          <xdr:nvSpPr>
            <xdr:cNvPr id="19531" name="Group Box 75" hidden="1">
              <a:extLst>
                <a:ext uri="{63B3BB69-23CF-44E3-9099-C40C66FF867C}">
                  <a14:compatExt spid="_x0000_s19531"/>
                </a:ext>
                <a:ext uri="{FF2B5EF4-FFF2-40B4-BE49-F238E27FC236}">
                  <a16:creationId xmlns:a16="http://schemas.microsoft.com/office/drawing/2014/main" id="{00000000-0008-0000-0800-00004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P_T.BP.TO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15</xdr:row>
          <xdr:rowOff>133350</xdr:rowOff>
        </xdr:from>
        <xdr:to>
          <xdr:col>6</xdr:col>
          <xdr:colOff>590550</xdr:colOff>
          <xdr:row>15</xdr:row>
          <xdr:rowOff>314325</xdr:rowOff>
        </xdr:to>
        <xdr:sp macro="" textlink="">
          <xdr:nvSpPr>
            <xdr:cNvPr id="19532" name="B_68" hidden="1">
              <a:extLst>
                <a:ext uri="{63B3BB69-23CF-44E3-9099-C40C66FF867C}">
                  <a14:compatExt spid="_x0000_s19532"/>
                </a:ext>
                <a:ext uri="{FF2B5EF4-FFF2-40B4-BE49-F238E27FC236}">
                  <a16:creationId xmlns:a16="http://schemas.microsoft.com/office/drawing/2014/main" id="{00000000-0008-0000-0800-00004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16</xdr:row>
          <xdr:rowOff>133350</xdr:rowOff>
        </xdr:from>
        <xdr:to>
          <xdr:col>3</xdr:col>
          <xdr:colOff>638175</xdr:colOff>
          <xdr:row>16</xdr:row>
          <xdr:rowOff>304800</xdr:rowOff>
        </xdr:to>
        <xdr:sp macro="" textlink="">
          <xdr:nvSpPr>
            <xdr:cNvPr id="19533" name="B_73" hidden="1">
              <a:extLst>
                <a:ext uri="{63B3BB69-23CF-44E3-9099-C40C66FF867C}">
                  <a14:compatExt spid="_x0000_s19533"/>
                </a:ext>
                <a:ext uri="{FF2B5EF4-FFF2-40B4-BE49-F238E27FC236}">
                  <a16:creationId xmlns:a16="http://schemas.microsoft.com/office/drawing/2014/main" id="{00000000-0008-0000-0800-00004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16</xdr:row>
          <xdr:rowOff>114300</xdr:rowOff>
        </xdr:from>
        <xdr:to>
          <xdr:col>4</xdr:col>
          <xdr:colOff>752475</xdr:colOff>
          <xdr:row>16</xdr:row>
          <xdr:rowOff>314325</xdr:rowOff>
        </xdr:to>
        <xdr:sp macro="" textlink="">
          <xdr:nvSpPr>
            <xdr:cNvPr id="19534" name="B_74" hidden="1">
              <a:extLst>
                <a:ext uri="{63B3BB69-23CF-44E3-9099-C40C66FF867C}">
                  <a14:compatExt spid="_x0000_s19534"/>
                </a:ext>
                <a:ext uri="{FF2B5EF4-FFF2-40B4-BE49-F238E27FC236}">
                  <a16:creationId xmlns:a16="http://schemas.microsoft.com/office/drawing/2014/main" id="{00000000-0008-0000-0800-00004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16</xdr:row>
          <xdr:rowOff>114300</xdr:rowOff>
        </xdr:from>
        <xdr:to>
          <xdr:col>5</xdr:col>
          <xdr:colOff>666750</xdr:colOff>
          <xdr:row>16</xdr:row>
          <xdr:rowOff>323850</xdr:rowOff>
        </xdr:to>
        <xdr:sp macro="" textlink="">
          <xdr:nvSpPr>
            <xdr:cNvPr id="19535" name="B_75" hidden="1">
              <a:extLst>
                <a:ext uri="{63B3BB69-23CF-44E3-9099-C40C66FF867C}">
                  <a14:compatExt spid="_x0000_s19535"/>
                </a:ext>
                <a:ext uri="{FF2B5EF4-FFF2-40B4-BE49-F238E27FC236}">
                  <a16:creationId xmlns:a16="http://schemas.microsoft.com/office/drawing/2014/main" id="{00000000-0008-0000-0800-00004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16</xdr:row>
          <xdr:rowOff>38100</xdr:rowOff>
        </xdr:from>
        <xdr:to>
          <xdr:col>6</xdr:col>
          <xdr:colOff>685800</xdr:colOff>
          <xdr:row>16</xdr:row>
          <xdr:rowOff>409575</xdr:rowOff>
        </xdr:to>
        <xdr:sp macro="" textlink="">
          <xdr:nvSpPr>
            <xdr:cNvPr id="19536" name="Group Box 80" hidden="1">
              <a:extLst>
                <a:ext uri="{63B3BB69-23CF-44E3-9099-C40C66FF867C}">
                  <a14:compatExt spid="_x0000_s19536"/>
                </a:ext>
                <a:ext uri="{FF2B5EF4-FFF2-40B4-BE49-F238E27FC236}">
                  <a16:creationId xmlns:a16="http://schemas.microsoft.com/office/drawing/2014/main" id="{00000000-0008-0000-0800-00005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P_T.BP.OT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16</xdr:row>
          <xdr:rowOff>133350</xdr:rowOff>
        </xdr:from>
        <xdr:to>
          <xdr:col>6</xdr:col>
          <xdr:colOff>590550</xdr:colOff>
          <xdr:row>16</xdr:row>
          <xdr:rowOff>314325</xdr:rowOff>
        </xdr:to>
        <xdr:sp macro="" textlink="">
          <xdr:nvSpPr>
            <xdr:cNvPr id="19537" name="B_76" hidden="1">
              <a:extLst>
                <a:ext uri="{63B3BB69-23CF-44E3-9099-C40C66FF867C}">
                  <a14:compatExt spid="_x0000_s19537"/>
                </a:ext>
                <a:ext uri="{FF2B5EF4-FFF2-40B4-BE49-F238E27FC236}">
                  <a16:creationId xmlns:a16="http://schemas.microsoft.com/office/drawing/2014/main" id="{00000000-0008-0000-0800-00005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12</xdr:row>
          <xdr:rowOff>152400</xdr:rowOff>
        </xdr:from>
        <xdr:to>
          <xdr:col>7</xdr:col>
          <xdr:colOff>628650</xdr:colOff>
          <xdr:row>12</xdr:row>
          <xdr:rowOff>323850</xdr:rowOff>
        </xdr:to>
        <xdr:sp macro="" textlink="">
          <xdr:nvSpPr>
            <xdr:cNvPr id="19538" name="B_45" hidden="1">
              <a:extLst>
                <a:ext uri="{63B3BB69-23CF-44E3-9099-C40C66FF867C}">
                  <a14:compatExt spid="_x0000_s19538"/>
                </a:ext>
                <a:ext uri="{FF2B5EF4-FFF2-40B4-BE49-F238E27FC236}">
                  <a16:creationId xmlns:a16="http://schemas.microsoft.com/office/drawing/2014/main" id="{00000000-0008-0000-0800-00005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12</xdr:row>
          <xdr:rowOff>133350</xdr:rowOff>
        </xdr:from>
        <xdr:to>
          <xdr:col>8</xdr:col>
          <xdr:colOff>723900</xdr:colOff>
          <xdr:row>12</xdr:row>
          <xdr:rowOff>333375</xdr:rowOff>
        </xdr:to>
        <xdr:sp macro="" textlink="">
          <xdr:nvSpPr>
            <xdr:cNvPr id="19539" name="B_46" hidden="1">
              <a:extLst>
                <a:ext uri="{63B3BB69-23CF-44E3-9099-C40C66FF867C}">
                  <a14:compatExt spid="_x0000_s19539"/>
                </a:ext>
                <a:ext uri="{FF2B5EF4-FFF2-40B4-BE49-F238E27FC236}">
                  <a16:creationId xmlns:a16="http://schemas.microsoft.com/office/drawing/2014/main" id="{00000000-0008-0000-0800-00005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12</xdr:row>
          <xdr:rowOff>133350</xdr:rowOff>
        </xdr:from>
        <xdr:to>
          <xdr:col>9</xdr:col>
          <xdr:colOff>590550</xdr:colOff>
          <xdr:row>12</xdr:row>
          <xdr:rowOff>342900</xdr:rowOff>
        </xdr:to>
        <xdr:sp macro="" textlink="">
          <xdr:nvSpPr>
            <xdr:cNvPr id="19540" name="B_47" hidden="1">
              <a:extLst>
                <a:ext uri="{63B3BB69-23CF-44E3-9099-C40C66FF867C}">
                  <a14:compatExt spid="_x0000_s19540"/>
                </a:ext>
                <a:ext uri="{FF2B5EF4-FFF2-40B4-BE49-F238E27FC236}">
                  <a16:creationId xmlns:a16="http://schemas.microsoft.com/office/drawing/2014/main" id="{00000000-0008-0000-0800-00005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12</xdr:row>
          <xdr:rowOff>57150</xdr:rowOff>
        </xdr:from>
        <xdr:to>
          <xdr:col>10</xdr:col>
          <xdr:colOff>752475</xdr:colOff>
          <xdr:row>12</xdr:row>
          <xdr:rowOff>428625</xdr:rowOff>
        </xdr:to>
        <xdr:sp macro="" textlink="">
          <xdr:nvSpPr>
            <xdr:cNvPr id="19541" name="Group Box 85" hidden="1">
              <a:extLst>
                <a:ext uri="{63B3BB69-23CF-44E3-9099-C40C66FF867C}">
                  <a14:compatExt spid="_x0000_s19541"/>
                </a:ext>
                <a:ext uri="{FF2B5EF4-FFF2-40B4-BE49-F238E27FC236}">
                  <a16:creationId xmlns:a16="http://schemas.microsoft.com/office/drawing/2014/main" id="{00000000-0008-0000-0800-00005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I_T.BP.FL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12</xdr:row>
          <xdr:rowOff>152400</xdr:rowOff>
        </xdr:from>
        <xdr:to>
          <xdr:col>10</xdr:col>
          <xdr:colOff>590550</xdr:colOff>
          <xdr:row>12</xdr:row>
          <xdr:rowOff>333375</xdr:rowOff>
        </xdr:to>
        <xdr:sp macro="" textlink="">
          <xdr:nvSpPr>
            <xdr:cNvPr id="19542" name="B_48" hidden="1">
              <a:extLst>
                <a:ext uri="{63B3BB69-23CF-44E3-9099-C40C66FF867C}">
                  <a14:compatExt spid="_x0000_s19542"/>
                </a:ext>
                <a:ext uri="{FF2B5EF4-FFF2-40B4-BE49-F238E27FC236}">
                  <a16:creationId xmlns:a16="http://schemas.microsoft.com/office/drawing/2014/main" id="{00000000-0008-0000-0800-00005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13</xdr:row>
          <xdr:rowOff>152400</xdr:rowOff>
        </xdr:from>
        <xdr:to>
          <xdr:col>7</xdr:col>
          <xdr:colOff>628650</xdr:colOff>
          <xdr:row>13</xdr:row>
          <xdr:rowOff>323850</xdr:rowOff>
        </xdr:to>
        <xdr:sp macro="" textlink="">
          <xdr:nvSpPr>
            <xdr:cNvPr id="19543" name="B_53" hidden="1">
              <a:extLst>
                <a:ext uri="{63B3BB69-23CF-44E3-9099-C40C66FF867C}">
                  <a14:compatExt spid="_x0000_s19543"/>
                </a:ext>
                <a:ext uri="{FF2B5EF4-FFF2-40B4-BE49-F238E27FC236}">
                  <a16:creationId xmlns:a16="http://schemas.microsoft.com/office/drawing/2014/main" id="{00000000-0008-0000-0800-00005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13</xdr:row>
          <xdr:rowOff>133350</xdr:rowOff>
        </xdr:from>
        <xdr:to>
          <xdr:col>8</xdr:col>
          <xdr:colOff>723900</xdr:colOff>
          <xdr:row>13</xdr:row>
          <xdr:rowOff>333375</xdr:rowOff>
        </xdr:to>
        <xdr:sp macro="" textlink="">
          <xdr:nvSpPr>
            <xdr:cNvPr id="19544" name="B_54" hidden="1">
              <a:extLst>
                <a:ext uri="{63B3BB69-23CF-44E3-9099-C40C66FF867C}">
                  <a14:compatExt spid="_x0000_s19544"/>
                </a:ext>
                <a:ext uri="{FF2B5EF4-FFF2-40B4-BE49-F238E27FC236}">
                  <a16:creationId xmlns:a16="http://schemas.microsoft.com/office/drawing/2014/main" id="{00000000-0008-0000-0800-00005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13</xdr:row>
          <xdr:rowOff>123825</xdr:rowOff>
        </xdr:from>
        <xdr:to>
          <xdr:col>9</xdr:col>
          <xdr:colOff>590550</xdr:colOff>
          <xdr:row>13</xdr:row>
          <xdr:rowOff>342900</xdr:rowOff>
        </xdr:to>
        <xdr:sp macro="" textlink="">
          <xdr:nvSpPr>
            <xdr:cNvPr id="19545" name="B_55" hidden="1">
              <a:extLst>
                <a:ext uri="{63B3BB69-23CF-44E3-9099-C40C66FF867C}">
                  <a14:compatExt spid="_x0000_s19545"/>
                </a:ext>
                <a:ext uri="{FF2B5EF4-FFF2-40B4-BE49-F238E27FC236}">
                  <a16:creationId xmlns:a16="http://schemas.microsoft.com/office/drawing/2014/main" id="{00000000-0008-0000-0800-00005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13</xdr:row>
          <xdr:rowOff>57150</xdr:rowOff>
        </xdr:from>
        <xdr:to>
          <xdr:col>10</xdr:col>
          <xdr:colOff>762000</xdr:colOff>
          <xdr:row>13</xdr:row>
          <xdr:rowOff>428625</xdr:rowOff>
        </xdr:to>
        <xdr:sp macro="" textlink="">
          <xdr:nvSpPr>
            <xdr:cNvPr id="19546" name="Group Box 90" hidden="1">
              <a:extLst>
                <a:ext uri="{63B3BB69-23CF-44E3-9099-C40C66FF867C}">
                  <a14:compatExt spid="_x0000_s19546"/>
                </a:ext>
                <a:ext uri="{FF2B5EF4-FFF2-40B4-BE49-F238E27FC236}">
                  <a16:creationId xmlns:a16="http://schemas.microsoft.com/office/drawing/2014/main" id="{00000000-0008-0000-0800-00005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I_T.BP.TA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13</xdr:row>
          <xdr:rowOff>152400</xdr:rowOff>
        </xdr:from>
        <xdr:to>
          <xdr:col>10</xdr:col>
          <xdr:colOff>590550</xdr:colOff>
          <xdr:row>13</xdr:row>
          <xdr:rowOff>333375</xdr:rowOff>
        </xdr:to>
        <xdr:sp macro="" textlink="">
          <xdr:nvSpPr>
            <xdr:cNvPr id="19547" name="B_56" hidden="1">
              <a:extLst>
                <a:ext uri="{63B3BB69-23CF-44E3-9099-C40C66FF867C}">
                  <a14:compatExt spid="_x0000_s19547"/>
                </a:ext>
                <a:ext uri="{FF2B5EF4-FFF2-40B4-BE49-F238E27FC236}">
                  <a16:creationId xmlns:a16="http://schemas.microsoft.com/office/drawing/2014/main" id="{00000000-0008-0000-0800-00005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14</xdr:row>
          <xdr:rowOff>133350</xdr:rowOff>
        </xdr:from>
        <xdr:to>
          <xdr:col>7</xdr:col>
          <xdr:colOff>638175</xdr:colOff>
          <xdr:row>14</xdr:row>
          <xdr:rowOff>314325</xdr:rowOff>
        </xdr:to>
        <xdr:sp macro="" textlink="">
          <xdr:nvSpPr>
            <xdr:cNvPr id="19548" name="B_61" hidden="1">
              <a:extLst>
                <a:ext uri="{63B3BB69-23CF-44E3-9099-C40C66FF867C}">
                  <a14:compatExt spid="_x0000_s19548"/>
                </a:ext>
                <a:ext uri="{FF2B5EF4-FFF2-40B4-BE49-F238E27FC236}">
                  <a16:creationId xmlns:a16="http://schemas.microsoft.com/office/drawing/2014/main" id="{00000000-0008-0000-0800-00005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14</xdr:row>
          <xdr:rowOff>133350</xdr:rowOff>
        </xdr:from>
        <xdr:to>
          <xdr:col>8</xdr:col>
          <xdr:colOff>733425</xdr:colOff>
          <xdr:row>14</xdr:row>
          <xdr:rowOff>323850</xdr:rowOff>
        </xdr:to>
        <xdr:sp macro="" textlink="">
          <xdr:nvSpPr>
            <xdr:cNvPr id="19549" name="B_62" hidden="1">
              <a:extLst>
                <a:ext uri="{63B3BB69-23CF-44E3-9099-C40C66FF867C}">
                  <a14:compatExt spid="_x0000_s19549"/>
                </a:ext>
                <a:ext uri="{FF2B5EF4-FFF2-40B4-BE49-F238E27FC236}">
                  <a16:creationId xmlns:a16="http://schemas.microsoft.com/office/drawing/2014/main" id="{00000000-0008-0000-0800-00005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14</xdr:row>
          <xdr:rowOff>114300</xdr:rowOff>
        </xdr:from>
        <xdr:to>
          <xdr:col>9</xdr:col>
          <xdr:colOff>600075</xdr:colOff>
          <xdr:row>14</xdr:row>
          <xdr:rowOff>323850</xdr:rowOff>
        </xdr:to>
        <xdr:sp macro="" textlink="">
          <xdr:nvSpPr>
            <xdr:cNvPr id="19550" name="B_63" hidden="1">
              <a:extLst>
                <a:ext uri="{63B3BB69-23CF-44E3-9099-C40C66FF867C}">
                  <a14:compatExt spid="_x0000_s19550"/>
                </a:ext>
                <a:ext uri="{FF2B5EF4-FFF2-40B4-BE49-F238E27FC236}">
                  <a16:creationId xmlns:a16="http://schemas.microsoft.com/office/drawing/2014/main" id="{00000000-0008-0000-0800-00005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14</xdr:row>
          <xdr:rowOff>47625</xdr:rowOff>
        </xdr:from>
        <xdr:to>
          <xdr:col>10</xdr:col>
          <xdr:colOff>781050</xdr:colOff>
          <xdr:row>14</xdr:row>
          <xdr:rowOff>409575</xdr:rowOff>
        </xdr:to>
        <xdr:sp macro="" textlink="">
          <xdr:nvSpPr>
            <xdr:cNvPr id="19551" name="Group Box 95" hidden="1">
              <a:extLst>
                <a:ext uri="{63B3BB69-23CF-44E3-9099-C40C66FF867C}">
                  <a14:compatExt spid="_x0000_s19551"/>
                </a:ext>
                <a:ext uri="{FF2B5EF4-FFF2-40B4-BE49-F238E27FC236}">
                  <a16:creationId xmlns:a16="http://schemas.microsoft.com/office/drawing/2014/main" id="{00000000-0008-0000-0800-00005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I_T.BP.MA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14</xdr:row>
          <xdr:rowOff>133350</xdr:rowOff>
        </xdr:from>
        <xdr:to>
          <xdr:col>10</xdr:col>
          <xdr:colOff>590550</xdr:colOff>
          <xdr:row>14</xdr:row>
          <xdr:rowOff>323850</xdr:rowOff>
        </xdr:to>
        <xdr:sp macro="" textlink="">
          <xdr:nvSpPr>
            <xdr:cNvPr id="19552" name="B_64" hidden="1">
              <a:extLst>
                <a:ext uri="{63B3BB69-23CF-44E3-9099-C40C66FF867C}">
                  <a14:compatExt spid="_x0000_s19552"/>
                </a:ext>
                <a:ext uri="{FF2B5EF4-FFF2-40B4-BE49-F238E27FC236}">
                  <a16:creationId xmlns:a16="http://schemas.microsoft.com/office/drawing/2014/main" id="{00000000-0008-0000-0800-00006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15</xdr:row>
          <xdr:rowOff>123825</xdr:rowOff>
        </xdr:from>
        <xdr:to>
          <xdr:col>7</xdr:col>
          <xdr:colOff>628650</xdr:colOff>
          <xdr:row>15</xdr:row>
          <xdr:rowOff>295275</xdr:rowOff>
        </xdr:to>
        <xdr:sp macro="" textlink="">
          <xdr:nvSpPr>
            <xdr:cNvPr id="19553" name="B_69" hidden="1">
              <a:extLst>
                <a:ext uri="{63B3BB69-23CF-44E3-9099-C40C66FF867C}">
                  <a14:compatExt spid="_x0000_s19553"/>
                </a:ext>
                <a:ext uri="{FF2B5EF4-FFF2-40B4-BE49-F238E27FC236}">
                  <a16:creationId xmlns:a16="http://schemas.microsoft.com/office/drawing/2014/main" id="{00000000-0008-0000-0800-00006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15</xdr:row>
          <xdr:rowOff>104775</xdr:rowOff>
        </xdr:from>
        <xdr:to>
          <xdr:col>8</xdr:col>
          <xdr:colOff>723900</xdr:colOff>
          <xdr:row>15</xdr:row>
          <xdr:rowOff>304800</xdr:rowOff>
        </xdr:to>
        <xdr:sp macro="" textlink="">
          <xdr:nvSpPr>
            <xdr:cNvPr id="19554" name="B_70" hidden="1">
              <a:extLst>
                <a:ext uri="{63B3BB69-23CF-44E3-9099-C40C66FF867C}">
                  <a14:compatExt spid="_x0000_s19554"/>
                </a:ext>
                <a:ext uri="{FF2B5EF4-FFF2-40B4-BE49-F238E27FC236}">
                  <a16:creationId xmlns:a16="http://schemas.microsoft.com/office/drawing/2014/main" id="{00000000-0008-0000-0800-00006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15</xdr:row>
          <xdr:rowOff>95250</xdr:rowOff>
        </xdr:from>
        <xdr:to>
          <xdr:col>9</xdr:col>
          <xdr:colOff>590550</xdr:colOff>
          <xdr:row>15</xdr:row>
          <xdr:rowOff>314325</xdr:rowOff>
        </xdr:to>
        <xdr:sp macro="" textlink="">
          <xdr:nvSpPr>
            <xdr:cNvPr id="19555" name="B_71" hidden="1">
              <a:extLst>
                <a:ext uri="{63B3BB69-23CF-44E3-9099-C40C66FF867C}">
                  <a14:compatExt spid="_x0000_s19555"/>
                </a:ext>
                <a:ext uri="{FF2B5EF4-FFF2-40B4-BE49-F238E27FC236}">
                  <a16:creationId xmlns:a16="http://schemas.microsoft.com/office/drawing/2014/main" id="{00000000-0008-0000-0800-00006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15</xdr:row>
          <xdr:rowOff>28575</xdr:rowOff>
        </xdr:from>
        <xdr:to>
          <xdr:col>10</xdr:col>
          <xdr:colOff>762000</xdr:colOff>
          <xdr:row>15</xdr:row>
          <xdr:rowOff>400050</xdr:rowOff>
        </xdr:to>
        <xdr:sp macro="" textlink="">
          <xdr:nvSpPr>
            <xdr:cNvPr id="19556" name="Group Box 100" hidden="1">
              <a:extLst>
                <a:ext uri="{63B3BB69-23CF-44E3-9099-C40C66FF867C}">
                  <a14:compatExt spid="_x0000_s19556"/>
                </a:ext>
                <a:ext uri="{FF2B5EF4-FFF2-40B4-BE49-F238E27FC236}">
                  <a16:creationId xmlns:a16="http://schemas.microsoft.com/office/drawing/2014/main" id="{00000000-0008-0000-0800-00006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I_T.BP.TO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15</xdr:row>
          <xdr:rowOff>123825</xdr:rowOff>
        </xdr:from>
        <xdr:to>
          <xdr:col>10</xdr:col>
          <xdr:colOff>590550</xdr:colOff>
          <xdr:row>15</xdr:row>
          <xdr:rowOff>304800</xdr:rowOff>
        </xdr:to>
        <xdr:sp macro="" textlink="">
          <xdr:nvSpPr>
            <xdr:cNvPr id="19557" name="B_72" hidden="1">
              <a:extLst>
                <a:ext uri="{63B3BB69-23CF-44E3-9099-C40C66FF867C}">
                  <a14:compatExt spid="_x0000_s19557"/>
                </a:ext>
                <a:ext uri="{FF2B5EF4-FFF2-40B4-BE49-F238E27FC236}">
                  <a16:creationId xmlns:a16="http://schemas.microsoft.com/office/drawing/2014/main" id="{00000000-0008-0000-0800-00006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16</xdr:row>
          <xdr:rowOff>133350</xdr:rowOff>
        </xdr:from>
        <xdr:to>
          <xdr:col>7</xdr:col>
          <xdr:colOff>628650</xdr:colOff>
          <xdr:row>16</xdr:row>
          <xdr:rowOff>304800</xdr:rowOff>
        </xdr:to>
        <xdr:sp macro="" textlink="">
          <xdr:nvSpPr>
            <xdr:cNvPr id="19558" name="B_77" hidden="1">
              <a:extLst>
                <a:ext uri="{63B3BB69-23CF-44E3-9099-C40C66FF867C}">
                  <a14:compatExt spid="_x0000_s19558"/>
                </a:ext>
                <a:ext uri="{FF2B5EF4-FFF2-40B4-BE49-F238E27FC236}">
                  <a16:creationId xmlns:a16="http://schemas.microsoft.com/office/drawing/2014/main" id="{00000000-0008-0000-0800-00006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16</xdr:row>
          <xdr:rowOff>114300</xdr:rowOff>
        </xdr:from>
        <xdr:to>
          <xdr:col>8</xdr:col>
          <xdr:colOff>723900</xdr:colOff>
          <xdr:row>16</xdr:row>
          <xdr:rowOff>314325</xdr:rowOff>
        </xdr:to>
        <xdr:sp macro="" textlink="">
          <xdr:nvSpPr>
            <xdr:cNvPr id="19559" name="B_78" hidden="1">
              <a:extLst>
                <a:ext uri="{63B3BB69-23CF-44E3-9099-C40C66FF867C}">
                  <a14:compatExt spid="_x0000_s19559"/>
                </a:ext>
                <a:ext uri="{FF2B5EF4-FFF2-40B4-BE49-F238E27FC236}">
                  <a16:creationId xmlns:a16="http://schemas.microsoft.com/office/drawing/2014/main" id="{00000000-0008-0000-0800-00006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16</xdr:row>
          <xdr:rowOff>114300</xdr:rowOff>
        </xdr:from>
        <xdr:to>
          <xdr:col>9</xdr:col>
          <xdr:colOff>590550</xdr:colOff>
          <xdr:row>16</xdr:row>
          <xdr:rowOff>323850</xdr:rowOff>
        </xdr:to>
        <xdr:sp macro="" textlink="">
          <xdr:nvSpPr>
            <xdr:cNvPr id="19560" name="B_79" hidden="1">
              <a:extLst>
                <a:ext uri="{63B3BB69-23CF-44E3-9099-C40C66FF867C}">
                  <a14:compatExt spid="_x0000_s19560"/>
                </a:ext>
                <a:ext uri="{FF2B5EF4-FFF2-40B4-BE49-F238E27FC236}">
                  <a16:creationId xmlns:a16="http://schemas.microsoft.com/office/drawing/2014/main" id="{00000000-0008-0000-0800-00006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16</xdr:row>
          <xdr:rowOff>38100</xdr:rowOff>
        </xdr:from>
        <xdr:to>
          <xdr:col>10</xdr:col>
          <xdr:colOff>762000</xdr:colOff>
          <xdr:row>16</xdr:row>
          <xdr:rowOff>409575</xdr:rowOff>
        </xdr:to>
        <xdr:sp macro="" textlink="">
          <xdr:nvSpPr>
            <xdr:cNvPr id="19561" name="Group Box 105" hidden="1">
              <a:extLst>
                <a:ext uri="{63B3BB69-23CF-44E3-9099-C40C66FF867C}">
                  <a14:compatExt spid="_x0000_s19561"/>
                </a:ext>
                <a:ext uri="{FF2B5EF4-FFF2-40B4-BE49-F238E27FC236}">
                  <a16:creationId xmlns:a16="http://schemas.microsoft.com/office/drawing/2014/main" id="{00000000-0008-0000-0800-00006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I_T.BP.OT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16</xdr:row>
          <xdr:rowOff>133350</xdr:rowOff>
        </xdr:from>
        <xdr:to>
          <xdr:col>10</xdr:col>
          <xdr:colOff>590550</xdr:colOff>
          <xdr:row>16</xdr:row>
          <xdr:rowOff>314325</xdr:rowOff>
        </xdr:to>
        <xdr:sp macro="" textlink="">
          <xdr:nvSpPr>
            <xdr:cNvPr id="19562" name="B_80" hidden="1">
              <a:extLst>
                <a:ext uri="{63B3BB69-23CF-44E3-9099-C40C66FF867C}">
                  <a14:compatExt spid="_x0000_s19562"/>
                </a:ext>
                <a:ext uri="{FF2B5EF4-FFF2-40B4-BE49-F238E27FC236}">
                  <a16:creationId xmlns:a16="http://schemas.microsoft.com/office/drawing/2014/main" id="{00000000-0008-0000-0800-00006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742950</xdr:colOff>
          <xdr:row>19</xdr:row>
          <xdr:rowOff>95250</xdr:rowOff>
        </xdr:from>
        <xdr:to>
          <xdr:col>8</xdr:col>
          <xdr:colOff>390525</xdr:colOff>
          <xdr:row>19</xdr:row>
          <xdr:rowOff>304800</xdr:rowOff>
        </xdr:to>
        <xdr:sp macro="" textlink="">
          <xdr:nvSpPr>
            <xdr:cNvPr id="19563" name="B_81" hidden="1">
              <a:extLst>
                <a:ext uri="{63B3BB69-23CF-44E3-9099-C40C66FF867C}">
                  <a14:compatExt spid="_x0000_s19563"/>
                </a:ext>
                <a:ext uri="{FF2B5EF4-FFF2-40B4-BE49-F238E27FC236}">
                  <a16:creationId xmlns:a16="http://schemas.microsoft.com/office/drawing/2014/main" id="{00000000-0008-0000-0800-00006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695325</xdr:colOff>
          <xdr:row>19</xdr:row>
          <xdr:rowOff>95250</xdr:rowOff>
        </xdr:from>
        <xdr:to>
          <xdr:col>10</xdr:col>
          <xdr:colOff>438150</xdr:colOff>
          <xdr:row>19</xdr:row>
          <xdr:rowOff>295275</xdr:rowOff>
        </xdr:to>
        <xdr:sp macro="" textlink="">
          <xdr:nvSpPr>
            <xdr:cNvPr id="19564" name="B_82" hidden="1">
              <a:extLst>
                <a:ext uri="{63B3BB69-23CF-44E3-9099-C40C66FF867C}">
                  <a14:compatExt spid="_x0000_s19564"/>
                </a:ext>
                <a:ext uri="{FF2B5EF4-FFF2-40B4-BE49-F238E27FC236}">
                  <a16:creationId xmlns:a16="http://schemas.microsoft.com/office/drawing/2014/main" id="{00000000-0008-0000-0800-00006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19</xdr:row>
          <xdr:rowOff>38100</xdr:rowOff>
        </xdr:from>
        <xdr:to>
          <xdr:col>10</xdr:col>
          <xdr:colOff>495300</xdr:colOff>
          <xdr:row>19</xdr:row>
          <xdr:rowOff>361950</xdr:rowOff>
        </xdr:to>
        <xdr:sp macro="" textlink="">
          <xdr:nvSpPr>
            <xdr:cNvPr id="19565" name="Group Box 109" hidden="1">
              <a:extLst>
                <a:ext uri="{63B3BB69-23CF-44E3-9099-C40C66FF867C}">
                  <a14:compatExt spid="_x0000_s19565"/>
                </a:ext>
                <a:ext uri="{FF2B5EF4-FFF2-40B4-BE49-F238E27FC236}">
                  <a16:creationId xmlns:a16="http://schemas.microsoft.com/office/drawing/2014/main" id="{00000000-0008-0000-0800-00006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T_HE1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20</xdr:row>
          <xdr:rowOff>95250</xdr:rowOff>
        </xdr:from>
        <xdr:to>
          <xdr:col>8</xdr:col>
          <xdr:colOff>400050</xdr:colOff>
          <xdr:row>20</xdr:row>
          <xdr:rowOff>304800</xdr:rowOff>
        </xdr:to>
        <xdr:sp macro="" textlink="">
          <xdr:nvSpPr>
            <xdr:cNvPr id="19566" name="B_83" hidden="1">
              <a:extLst>
                <a:ext uri="{63B3BB69-23CF-44E3-9099-C40C66FF867C}">
                  <a14:compatExt spid="_x0000_s19566"/>
                </a:ext>
                <a:ext uri="{FF2B5EF4-FFF2-40B4-BE49-F238E27FC236}">
                  <a16:creationId xmlns:a16="http://schemas.microsoft.com/office/drawing/2014/main" id="{00000000-0008-0000-0800-00006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20</xdr:row>
          <xdr:rowOff>95250</xdr:rowOff>
        </xdr:from>
        <xdr:to>
          <xdr:col>10</xdr:col>
          <xdr:colOff>438150</xdr:colOff>
          <xdr:row>20</xdr:row>
          <xdr:rowOff>295275</xdr:rowOff>
        </xdr:to>
        <xdr:sp macro="" textlink="">
          <xdr:nvSpPr>
            <xdr:cNvPr id="19567" name="B_84" hidden="1">
              <a:extLst>
                <a:ext uri="{63B3BB69-23CF-44E3-9099-C40C66FF867C}">
                  <a14:compatExt spid="_x0000_s19567"/>
                </a:ext>
                <a:ext uri="{FF2B5EF4-FFF2-40B4-BE49-F238E27FC236}">
                  <a16:creationId xmlns:a16="http://schemas.microsoft.com/office/drawing/2014/main" id="{00000000-0008-0000-0800-00006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20</xdr:row>
          <xdr:rowOff>38100</xdr:rowOff>
        </xdr:from>
        <xdr:to>
          <xdr:col>10</xdr:col>
          <xdr:colOff>504825</xdr:colOff>
          <xdr:row>20</xdr:row>
          <xdr:rowOff>361950</xdr:rowOff>
        </xdr:to>
        <xdr:sp macro="" textlink="">
          <xdr:nvSpPr>
            <xdr:cNvPr id="19568" name="Group Box 112" hidden="1">
              <a:extLst>
                <a:ext uri="{63B3BB69-23CF-44E3-9099-C40C66FF867C}">
                  <a14:compatExt spid="_x0000_s19568"/>
                </a:ext>
                <a:ext uri="{FF2B5EF4-FFF2-40B4-BE49-F238E27FC236}">
                  <a16:creationId xmlns:a16="http://schemas.microsoft.com/office/drawing/2014/main" id="{00000000-0008-0000-0800-00007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T_UA1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771525</xdr:colOff>
          <xdr:row>21</xdr:row>
          <xdr:rowOff>95250</xdr:rowOff>
        </xdr:from>
        <xdr:to>
          <xdr:col>8</xdr:col>
          <xdr:colOff>400050</xdr:colOff>
          <xdr:row>21</xdr:row>
          <xdr:rowOff>314325</xdr:rowOff>
        </xdr:to>
        <xdr:sp macro="" textlink="">
          <xdr:nvSpPr>
            <xdr:cNvPr id="19569" name="B_85" hidden="1">
              <a:extLst>
                <a:ext uri="{63B3BB69-23CF-44E3-9099-C40C66FF867C}">
                  <a14:compatExt spid="_x0000_s19569"/>
                </a:ext>
                <a:ext uri="{FF2B5EF4-FFF2-40B4-BE49-F238E27FC236}">
                  <a16:creationId xmlns:a16="http://schemas.microsoft.com/office/drawing/2014/main" id="{00000000-0008-0000-0800-00007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21</xdr:row>
          <xdr:rowOff>95250</xdr:rowOff>
        </xdr:from>
        <xdr:to>
          <xdr:col>10</xdr:col>
          <xdr:colOff>438150</xdr:colOff>
          <xdr:row>21</xdr:row>
          <xdr:rowOff>295275</xdr:rowOff>
        </xdr:to>
        <xdr:sp macro="" textlink="">
          <xdr:nvSpPr>
            <xdr:cNvPr id="19570" name="B_86" hidden="1">
              <a:extLst>
                <a:ext uri="{63B3BB69-23CF-44E3-9099-C40C66FF867C}">
                  <a14:compatExt spid="_x0000_s19570"/>
                </a:ext>
                <a:ext uri="{FF2B5EF4-FFF2-40B4-BE49-F238E27FC236}">
                  <a16:creationId xmlns:a16="http://schemas.microsoft.com/office/drawing/2014/main" id="{00000000-0008-0000-0800-00007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21</xdr:row>
          <xdr:rowOff>28575</xdr:rowOff>
        </xdr:from>
        <xdr:to>
          <xdr:col>10</xdr:col>
          <xdr:colOff>504825</xdr:colOff>
          <xdr:row>21</xdr:row>
          <xdr:rowOff>371475</xdr:rowOff>
        </xdr:to>
        <xdr:sp macro="" textlink="">
          <xdr:nvSpPr>
            <xdr:cNvPr id="19571" name="Group Box 115" hidden="1">
              <a:extLst>
                <a:ext uri="{63B3BB69-23CF-44E3-9099-C40C66FF867C}">
                  <a14:compatExt spid="_x0000_s19571"/>
                </a:ext>
                <a:ext uri="{FF2B5EF4-FFF2-40B4-BE49-F238E27FC236}">
                  <a16:creationId xmlns:a16="http://schemas.microsoft.com/office/drawing/2014/main" id="{00000000-0008-0000-0800-00007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T_FA1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114300</xdr:rowOff>
        </xdr:from>
        <xdr:to>
          <xdr:col>8</xdr:col>
          <xdr:colOff>400050</xdr:colOff>
          <xdr:row>22</xdr:row>
          <xdr:rowOff>323850</xdr:rowOff>
        </xdr:to>
        <xdr:sp macro="" textlink="">
          <xdr:nvSpPr>
            <xdr:cNvPr id="19575" name="B_87" hidden="1">
              <a:extLst>
                <a:ext uri="{63B3BB69-23CF-44E3-9099-C40C66FF867C}">
                  <a14:compatExt spid="_x0000_s19575"/>
                </a:ext>
                <a:ext uri="{FF2B5EF4-FFF2-40B4-BE49-F238E27FC236}">
                  <a16:creationId xmlns:a16="http://schemas.microsoft.com/office/drawing/2014/main" id="{00000000-0008-0000-0800-00007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114300</xdr:rowOff>
        </xdr:from>
        <xdr:to>
          <xdr:col>10</xdr:col>
          <xdr:colOff>447675</xdr:colOff>
          <xdr:row>22</xdr:row>
          <xdr:rowOff>314325</xdr:rowOff>
        </xdr:to>
        <xdr:sp macro="" textlink="">
          <xdr:nvSpPr>
            <xdr:cNvPr id="19576" name="B_88" hidden="1">
              <a:extLst>
                <a:ext uri="{63B3BB69-23CF-44E3-9099-C40C66FF867C}">
                  <a14:compatExt spid="_x0000_s19576"/>
                </a:ext>
                <a:ext uri="{FF2B5EF4-FFF2-40B4-BE49-F238E27FC236}">
                  <a16:creationId xmlns:a16="http://schemas.microsoft.com/office/drawing/2014/main" id="{00000000-0008-0000-0800-00007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22</xdr:row>
          <xdr:rowOff>47625</xdr:rowOff>
        </xdr:from>
        <xdr:to>
          <xdr:col>10</xdr:col>
          <xdr:colOff>514350</xdr:colOff>
          <xdr:row>22</xdr:row>
          <xdr:rowOff>381000</xdr:rowOff>
        </xdr:to>
        <xdr:sp macro="" textlink="">
          <xdr:nvSpPr>
            <xdr:cNvPr id="19577" name="Group Box 121" hidden="1">
              <a:extLst>
                <a:ext uri="{63B3BB69-23CF-44E3-9099-C40C66FF867C}">
                  <a14:compatExt spid="_x0000_s19577"/>
                </a:ext>
                <a:ext uri="{FF2B5EF4-FFF2-40B4-BE49-F238E27FC236}">
                  <a16:creationId xmlns:a16="http://schemas.microsoft.com/office/drawing/2014/main" id="{00000000-0008-0000-0800-00007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T_TF1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95250</xdr:rowOff>
        </xdr:from>
        <xdr:to>
          <xdr:col>8</xdr:col>
          <xdr:colOff>400050</xdr:colOff>
          <xdr:row>23</xdr:row>
          <xdr:rowOff>304800</xdr:rowOff>
        </xdr:to>
        <xdr:sp macro="" textlink="">
          <xdr:nvSpPr>
            <xdr:cNvPr id="19578" name="B_89" hidden="1">
              <a:extLst>
                <a:ext uri="{63B3BB69-23CF-44E3-9099-C40C66FF867C}">
                  <a14:compatExt spid="_x0000_s19578"/>
                </a:ext>
                <a:ext uri="{FF2B5EF4-FFF2-40B4-BE49-F238E27FC236}">
                  <a16:creationId xmlns:a16="http://schemas.microsoft.com/office/drawing/2014/main" id="{00000000-0008-0000-0800-00007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23</xdr:row>
          <xdr:rowOff>123825</xdr:rowOff>
        </xdr:from>
        <xdr:to>
          <xdr:col>10</xdr:col>
          <xdr:colOff>447675</xdr:colOff>
          <xdr:row>23</xdr:row>
          <xdr:rowOff>323850</xdr:rowOff>
        </xdr:to>
        <xdr:sp macro="" textlink="">
          <xdr:nvSpPr>
            <xdr:cNvPr id="19579" name="B_90" hidden="1">
              <a:extLst>
                <a:ext uri="{63B3BB69-23CF-44E3-9099-C40C66FF867C}">
                  <a14:compatExt spid="_x0000_s19579"/>
                </a:ext>
                <a:ext uri="{FF2B5EF4-FFF2-40B4-BE49-F238E27FC236}">
                  <a16:creationId xmlns:a16="http://schemas.microsoft.com/office/drawing/2014/main" id="{00000000-0008-0000-0800-00007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23</xdr:row>
          <xdr:rowOff>28575</xdr:rowOff>
        </xdr:from>
        <xdr:to>
          <xdr:col>10</xdr:col>
          <xdr:colOff>514350</xdr:colOff>
          <xdr:row>23</xdr:row>
          <xdr:rowOff>361950</xdr:rowOff>
        </xdr:to>
        <xdr:sp macro="" textlink="">
          <xdr:nvSpPr>
            <xdr:cNvPr id="19580" name="Group Box 124" hidden="1">
              <a:extLst>
                <a:ext uri="{63B3BB69-23CF-44E3-9099-C40C66FF867C}">
                  <a14:compatExt spid="_x0000_s19580"/>
                </a:ext>
                <a:ext uri="{FF2B5EF4-FFF2-40B4-BE49-F238E27FC236}">
                  <a16:creationId xmlns:a16="http://schemas.microsoft.com/office/drawing/2014/main" id="{00000000-0008-0000-0800-00007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T_TB1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800100</xdr:colOff>
          <xdr:row>24</xdr:row>
          <xdr:rowOff>95250</xdr:rowOff>
        </xdr:from>
        <xdr:to>
          <xdr:col>8</xdr:col>
          <xdr:colOff>400050</xdr:colOff>
          <xdr:row>24</xdr:row>
          <xdr:rowOff>304800</xdr:rowOff>
        </xdr:to>
        <xdr:sp macro="" textlink="">
          <xdr:nvSpPr>
            <xdr:cNvPr id="19584" name="B_91" hidden="1">
              <a:extLst>
                <a:ext uri="{63B3BB69-23CF-44E3-9099-C40C66FF867C}">
                  <a14:compatExt spid="_x0000_s19584"/>
                </a:ext>
                <a:ext uri="{FF2B5EF4-FFF2-40B4-BE49-F238E27FC236}">
                  <a16:creationId xmlns:a16="http://schemas.microsoft.com/office/drawing/2014/main" id="{00000000-0008-0000-0800-00008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24</xdr:row>
          <xdr:rowOff>95250</xdr:rowOff>
        </xdr:from>
        <xdr:to>
          <xdr:col>10</xdr:col>
          <xdr:colOff>447675</xdr:colOff>
          <xdr:row>24</xdr:row>
          <xdr:rowOff>295275</xdr:rowOff>
        </xdr:to>
        <xdr:sp macro="" textlink="">
          <xdr:nvSpPr>
            <xdr:cNvPr id="19585" name="B_92" hidden="1">
              <a:extLst>
                <a:ext uri="{63B3BB69-23CF-44E3-9099-C40C66FF867C}">
                  <a14:compatExt spid="_x0000_s19585"/>
                </a:ext>
                <a:ext uri="{FF2B5EF4-FFF2-40B4-BE49-F238E27FC236}">
                  <a16:creationId xmlns:a16="http://schemas.microsoft.com/office/drawing/2014/main" id="{00000000-0008-0000-0800-00008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24</xdr:row>
          <xdr:rowOff>28575</xdr:rowOff>
        </xdr:from>
        <xdr:to>
          <xdr:col>10</xdr:col>
          <xdr:colOff>514350</xdr:colOff>
          <xdr:row>24</xdr:row>
          <xdr:rowOff>361950</xdr:rowOff>
        </xdr:to>
        <xdr:sp macro="" textlink="">
          <xdr:nvSpPr>
            <xdr:cNvPr id="19586" name="Group Box 130" hidden="1">
              <a:extLst>
                <a:ext uri="{63B3BB69-23CF-44E3-9099-C40C66FF867C}">
                  <a14:compatExt spid="_x0000_s19586"/>
                </a:ext>
                <a:ext uri="{FF2B5EF4-FFF2-40B4-BE49-F238E27FC236}">
                  <a16:creationId xmlns:a16="http://schemas.microsoft.com/office/drawing/2014/main" id="{00000000-0008-0000-0800-00008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T_LB1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790575</xdr:colOff>
          <xdr:row>25</xdr:row>
          <xdr:rowOff>161925</xdr:rowOff>
        </xdr:from>
        <xdr:to>
          <xdr:col>8</xdr:col>
          <xdr:colOff>400050</xdr:colOff>
          <xdr:row>25</xdr:row>
          <xdr:rowOff>371475</xdr:rowOff>
        </xdr:to>
        <xdr:sp macro="" textlink="">
          <xdr:nvSpPr>
            <xdr:cNvPr id="19587" name="B_93" hidden="1">
              <a:extLst>
                <a:ext uri="{63B3BB69-23CF-44E3-9099-C40C66FF867C}">
                  <a14:compatExt spid="_x0000_s19587"/>
                </a:ext>
                <a:ext uri="{FF2B5EF4-FFF2-40B4-BE49-F238E27FC236}">
                  <a16:creationId xmlns:a16="http://schemas.microsoft.com/office/drawing/2014/main" id="{00000000-0008-0000-0800-00008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25</xdr:row>
          <xdr:rowOff>161925</xdr:rowOff>
        </xdr:from>
        <xdr:to>
          <xdr:col>10</xdr:col>
          <xdr:colOff>447675</xdr:colOff>
          <xdr:row>25</xdr:row>
          <xdr:rowOff>361950</xdr:rowOff>
        </xdr:to>
        <xdr:sp macro="" textlink="">
          <xdr:nvSpPr>
            <xdr:cNvPr id="19588" name="B_94" hidden="1">
              <a:extLst>
                <a:ext uri="{63B3BB69-23CF-44E3-9099-C40C66FF867C}">
                  <a14:compatExt spid="_x0000_s19588"/>
                </a:ext>
                <a:ext uri="{FF2B5EF4-FFF2-40B4-BE49-F238E27FC236}">
                  <a16:creationId xmlns:a16="http://schemas.microsoft.com/office/drawing/2014/main" id="{00000000-0008-0000-0800-00008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25</xdr:row>
          <xdr:rowOff>95250</xdr:rowOff>
        </xdr:from>
        <xdr:to>
          <xdr:col>10</xdr:col>
          <xdr:colOff>514350</xdr:colOff>
          <xdr:row>25</xdr:row>
          <xdr:rowOff>438150</xdr:rowOff>
        </xdr:to>
        <xdr:sp macro="" textlink="">
          <xdr:nvSpPr>
            <xdr:cNvPr id="19589" name="Group Box 133" hidden="1">
              <a:extLst>
                <a:ext uri="{63B3BB69-23CF-44E3-9099-C40C66FF867C}">
                  <a14:compatExt spid="_x0000_s19589"/>
                </a:ext>
                <a:ext uri="{FF2B5EF4-FFF2-40B4-BE49-F238E27FC236}">
                  <a16:creationId xmlns:a16="http://schemas.microsoft.com/office/drawing/2014/main" id="{00000000-0008-0000-0800-00008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T_LL1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790575</xdr:colOff>
          <xdr:row>26</xdr:row>
          <xdr:rowOff>104775</xdr:rowOff>
        </xdr:from>
        <xdr:to>
          <xdr:col>8</xdr:col>
          <xdr:colOff>400050</xdr:colOff>
          <xdr:row>26</xdr:row>
          <xdr:rowOff>323850</xdr:rowOff>
        </xdr:to>
        <xdr:sp macro="" textlink="">
          <xdr:nvSpPr>
            <xdr:cNvPr id="19590" name="B_95" hidden="1">
              <a:extLst>
                <a:ext uri="{63B3BB69-23CF-44E3-9099-C40C66FF867C}">
                  <a14:compatExt spid="_x0000_s19590"/>
                </a:ext>
                <a:ext uri="{FF2B5EF4-FFF2-40B4-BE49-F238E27FC236}">
                  <a16:creationId xmlns:a16="http://schemas.microsoft.com/office/drawing/2014/main" id="{00000000-0008-0000-0800-00008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26</xdr:row>
          <xdr:rowOff>104775</xdr:rowOff>
        </xdr:from>
        <xdr:to>
          <xdr:col>10</xdr:col>
          <xdr:colOff>447675</xdr:colOff>
          <xdr:row>26</xdr:row>
          <xdr:rowOff>314325</xdr:rowOff>
        </xdr:to>
        <xdr:sp macro="" textlink="">
          <xdr:nvSpPr>
            <xdr:cNvPr id="19591" name="B_96" hidden="1">
              <a:extLst>
                <a:ext uri="{63B3BB69-23CF-44E3-9099-C40C66FF867C}">
                  <a14:compatExt spid="_x0000_s19591"/>
                </a:ext>
                <a:ext uri="{FF2B5EF4-FFF2-40B4-BE49-F238E27FC236}">
                  <a16:creationId xmlns:a16="http://schemas.microsoft.com/office/drawing/2014/main" id="{00000000-0008-0000-0800-00008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26</xdr:row>
          <xdr:rowOff>47625</xdr:rowOff>
        </xdr:from>
        <xdr:to>
          <xdr:col>10</xdr:col>
          <xdr:colOff>514350</xdr:colOff>
          <xdr:row>26</xdr:row>
          <xdr:rowOff>381000</xdr:rowOff>
        </xdr:to>
        <xdr:sp macro="" textlink="">
          <xdr:nvSpPr>
            <xdr:cNvPr id="19592" name="Group Box 136" hidden="1">
              <a:extLst>
                <a:ext uri="{63B3BB69-23CF-44E3-9099-C40C66FF867C}">
                  <a14:compatExt spid="_x0000_s19592"/>
                </a:ext>
                <a:ext uri="{FF2B5EF4-FFF2-40B4-BE49-F238E27FC236}">
                  <a16:creationId xmlns:a16="http://schemas.microsoft.com/office/drawing/2014/main" id="{00000000-0008-0000-0800-00008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T_FE1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410308</xdr:colOff>
      <xdr:row>27</xdr:row>
      <xdr:rowOff>139637</xdr:rowOff>
    </xdr:from>
    <xdr:to>
      <xdr:col>11</xdr:col>
      <xdr:colOff>30401</xdr:colOff>
      <xdr:row>28</xdr:row>
      <xdr:rowOff>157544</xdr:rowOff>
    </xdr:to>
    <xdr:sp macro="" textlink="">
      <xdr:nvSpPr>
        <xdr:cNvPr id="144" name="Flecha: a la derecha 14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90000000}"/>
            </a:ext>
          </a:extLst>
        </xdr:cNvPr>
        <xdr:cNvSpPr/>
      </xdr:nvSpPr>
      <xdr:spPr>
        <a:xfrm>
          <a:off x="8836270" y="11379137"/>
          <a:ext cx="470016" cy="215734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0</xdr:colOff>
      <xdr:row>27</xdr:row>
      <xdr:rowOff>139637</xdr:rowOff>
    </xdr:from>
    <xdr:to>
      <xdr:col>1</xdr:col>
      <xdr:colOff>439976</xdr:colOff>
      <xdr:row>28</xdr:row>
      <xdr:rowOff>157544</xdr:rowOff>
    </xdr:to>
    <xdr:sp macro="" textlink="">
      <xdr:nvSpPr>
        <xdr:cNvPr id="145" name="Flecha: a la derecha 14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91000000}"/>
            </a:ext>
          </a:extLst>
        </xdr:cNvPr>
        <xdr:cNvSpPr/>
      </xdr:nvSpPr>
      <xdr:spPr>
        <a:xfrm flipH="1">
          <a:off x="1417320" y="11424857"/>
          <a:ext cx="439976" cy="208407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758607</xdr:colOff>
      <xdr:row>27</xdr:row>
      <xdr:rowOff>114300</xdr:rowOff>
    </xdr:from>
    <xdr:to>
      <xdr:col>4</xdr:col>
      <xdr:colOff>192822</xdr:colOff>
      <xdr:row>28</xdr:row>
      <xdr:rowOff>182880</xdr:rowOff>
    </xdr:to>
    <xdr:sp macro="[0]!CleanTrans.CleanTrans" textlink="">
      <xdr:nvSpPr>
        <xdr:cNvPr id="146" name="Rectángulo 145">
          <a:extLst>
            <a:ext uri="{FF2B5EF4-FFF2-40B4-BE49-F238E27FC236}">
              <a16:creationId xmlns:a16="http://schemas.microsoft.com/office/drawing/2014/main" id="{00000000-0008-0000-0800-000092000000}"/>
            </a:ext>
          </a:extLst>
        </xdr:cNvPr>
        <xdr:cNvSpPr/>
      </xdr:nvSpPr>
      <xdr:spPr>
        <a:xfrm>
          <a:off x="2907447" y="11399520"/>
          <a:ext cx="1019175" cy="25908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000"/>
            <a:t>Limpiar datos</a:t>
          </a:r>
        </a:p>
      </xdr:txBody>
    </xdr:sp>
    <xdr:clientData/>
  </xdr:twoCellAnchor>
  <xdr:twoCellAnchor>
    <xdr:from>
      <xdr:col>0</xdr:col>
      <xdr:colOff>0</xdr:colOff>
      <xdr:row>5</xdr:row>
      <xdr:rowOff>152400</xdr:rowOff>
    </xdr:from>
    <xdr:to>
      <xdr:col>0</xdr:col>
      <xdr:colOff>1013459</xdr:colOff>
      <xdr:row>5</xdr:row>
      <xdr:rowOff>408550</xdr:rowOff>
    </xdr:to>
    <xdr:sp macro="" textlink="">
      <xdr:nvSpPr>
        <xdr:cNvPr id="149" name="Redondear rectángulo de esquina del mismo lado 14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95000000}"/>
            </a:ext>
          </a:extLst>
        </xdr:cNvPr>
        <xdr:cNvSpPr/>
      </xdr:nvSpPr>
      <xdr:spPr>
        <a:xfrm rot="5400000">
          <a:off x="378655" y="119868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6. Exposición</a:t>
          </a:r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1013459</xdr:colOff>
      <xdr:row>3</xdr:row>
      <xdr:rowOff>73270</xdr:rowOff>
    </xdr:to>
    <xdr:sp macro="" textlink="">
      <xdr:nvSpPr>
        <xdr:cNvPr id="151" name="Redondear rectángulo de esquina del mismo lado 15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97000000}"/>
            </a:ext>
          </a:extLst>
        </xdr:cNvPr>
        <xdr:cNvSpPr/>
      </xdr:nvSpPr>
      <xdr:spPr>
        <a:xfrm rot="5400000">
          <a:off x="378655" y="-1289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1.</a:t>
          </a:r>
          <a:r>
            <a:rPr lang="en-US" sz="1000" baseline="0">
              <a:solidFill>
                <a:sysClr val="windowText" lastClr="000000"/>
              </a:solidFill>
            </a:rPr>
            <a:t> Empresa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297181</xdr:rowOff>
    </xdr:from>
    <xdr:to>
      <xdr:col>0</xdr:col>
      <xdr:colOff>1013459</xdr:colOff>
      <xdr:row>4</xdr:row>
      <xdr:rowOff>248533</xdr:rowOff>
    </xdr:to>
    <xdr:sp macro="" textlink="">
      <xdr:nvSpPr>
        <xdr:cNvPr id="152" name="Redondear rectángulo de esquina del mismo lado 15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98000000}"/>
            </a:ext>
          </a:extLst>
        </xdr:cNvPr>
        <xdr:cNvSpPr/>
      </xdr:nvSpPr>
      <xdr:spPr>
        <a:xfrm rot="5400000">
          <a:off x="378654" y="467167"/>
          <a:ext cx="256152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chemeClr val="tx1"/>
              </a:solidFill>
            </a:rPr>
            <a:t>3. Puesto</a:t>
          </a:r>
        </a:p>
      </xdr:txBody>
    </xdr:sp>
    <xdr:clientData/>
  </xdr:twoCellAnchor>
  <xdr:twoCellAnchor>
    <xdr:from>
      <xdr:col>0</xdr:col>
      <xdr:colOff>0</xdr:colOff>
      <xdr:row>4</xdr:row>
      <xdr:rowOff>236220</xdr:rowOff>
    </xdr:from>
    <xdr:to>
      <xdr:col>0</xdr:col>
      <xdr:colOff>1013459</xdr:colOff>
      <xdr:row>4</xdr:row>
      <xdr:rowOff>492370</xdr:rowOff>
    </xdr:to>
    <xdr:sp macro="" textlink="">
      <xdr:nvSpPr>
        <xdr:cNvPr id="153" name="Redondear rectángulo de esquina del mismo lado 15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99000000}"/>
            </a:ext>
          </a:extLst>
        </xdr:cNvPr>
        <xdr:cNvSpPr/>
      </xdr:nvSpPr>
      <xdr:spPr>
        <a:xfrm rot="5400000">
          <a:off x="378655" y="71100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4. Tarea</a:t>
          </a:r>
        </a:p>
      </xdr:txBody>
    </xdr:sp>
    <xdr:clientData/>
  </xdr:twoCellAnchor>
  <xdr:twoCellAnchor>
    <xdr:from>
      <xdr:col>0</xdr:col>
      <xdr:colOff>0</xdr:colOff>
      <xdr:row>4</xdr:row>
      <xdr:rowOff>480062</xdr:rowOff>
    </xdr:from>
    <xdr:to>
      <xdr:col>0</xdr:col>
      <xdr:colOff>1013459</xdr:colOff>
      <xdr:row>5</xdr:row>
      <xdr:rowOff>164712</xdr:rowOff>
    </xdr:to>
    <xdr:sp macro="" textlink="">
      <xdr:nvSpPr>
        <xdr:cNvPr id="154" name="Redondear rectángulo de esquina del mismo lado 15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9A000000}"/>
            </a:ext>
          </a:extLst>
        </xdr:cNvPr>
        <xdr:cNvSpPr/>
      </xdr:nvSpPr>
      <xdr:spPr>
        <a:xfrm rot="5400000">
          <a:off x="378655" y="95484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5.</a:t>
          </a:r>
          <a:r>
            <a:rPr lang="en-US" sz="1000" baseline="0">
              <a:solidFill>
                <a:sysClr val="windowText" lastClr="000000"/>
              </a:solidFill>
            </a:rPr>
            <a:t> Agente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5</xdr:row>
      <xdr:rowOff>396242</xdr:rowOff>
    </xdr:from>
    <xdr:to>
      <xdr:col>0</xdr:col>
      <xdr:colOff>1013459</xdr:colOff>
      <xdr:row>6</xdr:row>
      <xdr:rowOff>202812</xdr:rowOff>
    </xdr:to>
    <xdr:sp macro="" textlink="">
      <xdr:nvSpPr>
        <xdr:cNvPr id="155" name="Redondear rectángulo de esquina del mismo lado 15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9B000000}"/>
            </a:ext>
          </a:extLst>
        </xdr:cNvPr>
        <xdr:cNvSpPr/>
      </xdr:nvSpPr>
      <xdr:spPr>
        <a:xfrm rot="5400000">
          <a:off x="378655" y="144252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Emisión</a:t>
          </a:r>
        </a:p>
      </xdr:txBody>
    </xdr:sp>
    <xdr:clientData/>
  </xdr:twoCellAnchor>
  <xdr:twoCellAnchor>
    <xdr:from>
      <xdr:col>0</xdr:col>
      <xdr:colOff>0</xdr:colOff>
      <xdr:row>6</xdr:row>
      <xdr:rowOff>190500</xdr:rowOff>
    </xdr:from>
    <xdr:to>
      <xdr:col>0</xdr:col>
      <xdr:colOff>1013459</xdr:colOff>
      <xdr:row>6</xdr:row>
      <xdr:rowOff>446650</xdr:rowOff>
    </xdr:to>
    <xdr:sp macro="" textlink="">
      <xdr:nvSpPr>
        <xdr:cNvPr id="156" name="Redondear rectángulo de esquina del mismo lado 15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9C000000}"/>
            </a:ext>
          </a:extLst>
        </xdr:cNvPr>
        <xdr:cNvSpPr/>
      </xdr:nvSpPr>
      <xdr:spPr>
        <a:xfrm rot="5400000">
          <a:off x="378655" y="1686365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Deposición</a:t>
          </a:r>
        </a:p>
      </xdr:txBody>
    </xdr:sp>
    <xdr:clientData/>
  </xdr:twoCellAnchor>
  <xdr:twoCellAnchor>
    <xdr:from>
      <xdr:col>0</xdr:col>
      <xdr:colOff>0</xdr:colOff>
      <xdr:row>6</xdr:row>
      <xdr:rowOff>434342</xdr:rowOff>
    </xdr:from>
    <xdr:to>
      <xdr:col>0</xdr:col>
      <xdr:colOff>1013459</xdr:colOff>
      <xdr:row>7</xdr:row>
      <xdr:rowOff>218052</xdr:rowOff>
    </xdr:to>
    <xdr:sp macro="" textlink="">
      <xdr:nvSpPr>
        <xdr:cNvPr id="157" name="Redondear rectángulo de esquina del mismo lado 15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9D000000}"/>
            </a:ext>
          </a:extLst>
        </xdr:cNvPr>
        <xdr:cNvSpPr/>
      </xdr:nvSpPr>
      <xdr:spPr>
        <a:xfrm rot="5400000">
          <a:off x="378655" y="1930207"/>
          <a:ext cx="256150" cy="1013459"/>
        </a:xfrm>
        <a:prstGeom prst="round2Same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chemeClr val="bg1"/>
              </a:solidFill>
            </a:rPr>
            <a:t>Transferencia</a:t>
          </a:r>
        </a:p>
      </xdr:txBody>
    </xdr:sp>
    <xdr:clientData/>
  </xdr:twoCellAnchor>
  <xdr:twoCellAnchor>
    <xdr:from>
      <xdr:col>0</xdr:col>
      <xdr:colOff>0</xdr:colOff>
      <xdr:row>7</xdr:row>
      <xdr:rowOff>205744</xdr:rowOff>
    </xdr:from>
    <xdr:to>
      <xdr:col>0</xdr:col>
      <xdr:colOff>1013459</xdr:colOff>
      <xdr:row>7</xdr:row>
      <xdr:rowOff>461894</xdr:rowOff>
    </xdr:to>
    <xdr:sp macro="" textlink="">
      <xdr:nvSpPr>
        <xdr:cNvPr id="158" name="Redondear rectángulo de esquina del mismo lado 15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9E000000}"/>
            </a:ext>
          </a:extLst>
        </xdr:cNvPr>
        <xdr:cNvSpPr/>
      </xdr:nvSpPr>
      <xdr:spPr>
        <a:xfrm rot="5400000">
          <a:off x="378655" y="2174049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Guantes</a:t>
          </a:r>
        </a:p>
      </xdr:txBody>
    </xdr:sp>
    <xdr:clientData/>
  </xdr:twoCellAnchor>
  <xdr:twoCellAnchor>
    <xdr:from>
      <xdr:col>0</xdr:col>
      <xdr:colOff>0</xdr:colOff>
      <xdr:row>7</xdr:row>
      <xdr:rowOff>449582</xdr:rowOff>
    </xdr:from>
    <xdr:to>
      <xdr:col>0</xdr:col>
      <xdr:colOff>1013459</xdr:colOff>
      <xdr:row>8</xdr:row>
      <xdr:rowOff>210432</xdr:rowOff>
    </xdr:to>
    <xdr:sp macro="" textlink="">
      <xdr:nvSpPr>
        <xdr:cNvPr id="159" name="Redondear rectángulo de esquina del mismo lado 15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9F000000}"/>
            </a:ext>
          </a:extLst>
        </xdr:cNvPr>
        <xdr:cNvSpPr/>
      </xdr:nvSpPr>
      <xdr:spPr>
        <a:xfrm rot="5400000">
          <a:off x="378655" y="2417887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Ropa</a:t>
          </a:r>
        </a:p>
      </xdr:txBody>
    </xdr:sp>
    <xdr:clientData/>
  </xdr:twoCellAnchor>
  <xdr:twoCellAnchor>
    <xdr:from>
      <xdr:col>0</xdr:col>
      <xdr:colOff>0</xdr:colOff>
      <xdr:row>3</xdr:row>
      <xdr:rowOff>60962</xdr:rowOff>
    </xdr:from>
    <xdr:to>
      <xdr:col>0</xdr:col>
      <xdr:colOff>1013459</xdr:colOff>
      <xdr:row>4</xdr:row>
      <xdr:rowOff>4692</xdr:rowOff>
    </xdr:to>
    <xdr:sp macro="" textlink="">
      <xdr:nvSpPr>
        <xdr:cNvPr id="160" name="Redondear rectángulo de esquina del mismo lado 15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800-0000A0000000}"/>
            </a:ext>
          </a:extLst>
        </xdr:cNvPr>
        <xdr:cNvSpPr/>
      </xdr:nvSpPr>
      <xdr:spPr>
        <a:xfrm rot="5400000">
          <a:off x="382465" y="227137"/>
          <a:ext cx="24853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2.</a:t>
          </a:r>
          <a:r>
            <a:rPr lang="en-US" sz="1000" baseline="0">
              <a:solidFill>
                <a:sysClr val="windowText" lastClr="000000"/>
              </a:solidFill>
            </a:rPr>
            <a:t> Departamento</a:t>
          </a:r>
          <a:endParaRPr lang="en-US" sz="1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8</xdr:row>
      <xdr:rowOff>213363</xdr:rowOff>
    </xdr:from>
    <xdr:to>
      <xdr:col>0</xdr:col>
      <xdr:colOff>1013459</xdr:colOff>
      <xdr:row>8</xdr:row>
      <xdr:rowOff>469513</xdr:rowOff>
    </xdr:to>
    <xdr:sp macro="" textlink="">
      <xdr:nvSpPr>
        <xdr:cNvPr id="161" name="Redondear rectángulo de esquina del mismo lado 16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800-0000A1000000}"/>
            </a:ext>
          </a:extLst>
        </xdr:cNvPr>
        <xdr:cNvSpPr/>
      </xdr:nvSpPr>
      <xdr:spPr>
        <a:xfrm rot="5400000">
          <a:off x="378655" y="2676968"/>
          <a:ext cx="256150" cy="1013459"/>
        </a:xfrm>
        <a:prstGeom prst="round2Same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r>
            <a:rPr lang="en-US" sz="1000">
              <a:solidFill>
                <a:sysClr val="windowText" lastClr="000000"/>
              </a:solidFill>
            </a:rPr>
            <a:t>Resultados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247650</xdr:rowOff>
        </xdr:from>
        <xdr:to>
          <xdr:col>3</xdr:col>
          <xdr:colOff>1171575</xdr:colOff>
          <xdr:row>3</xdr:row>
          <xdr:rowOff>457200</xdr:rowOff>
        </xdr:to>
        <xdr:sp macro="" textlink="">
          <xdr:nvSpPr>
            <xdr:cNvPr id="27649" name="B_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[ir a 11]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419100</xdr:rowOff>
        </xdr:from>
        <xdr:to>
          <xdr:col>3</xdr:col>
          <xdr:colOff>1924050</xdr:colOff>
          <xdr:row>3</xdr:row>
          <xdr:rowOff>609600</xdr:rowOff>
        </xdr:to>
        <xdr:sp macro="" textlink="">
          <xdr:nvSpPr>
            <xdr:cNvPr id="27650" name="B_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9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Guantes de tela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581025</xdr:rowOff>
        </xdr:from>
        <xdr:to>
          <xdr:col>3</xdr:col>
          <xdr:colOff>2590800</xdr:colOff>
          <xdr:row>3</xdr:row>
          <xdr:rowOff>819150</xdr:rowOff>
        </xdr:to>
        <xdr:sp macro="" textlink="">
          <xdr:nvSpPr>
            <xdr:cNvPr id="27651" name="B_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9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Guantes de cuero u otro material permeable (0,1)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3</xdr:row>
          <xdr:rowOff>781050</xdr:rowOff>
        </xdr:from>
        <xdr:to>
          <xdr:col>3</xdr:col>
          <xdr:colOff>2590800</xdr:colOff>
          <xdr:row>3</xdr:row>
          <xdr:rowOff>1019175</xdr:rowOff>
        </xdr:to>
        <xdr:sp macro="" textlink="">
          <xdr:nvSpPr>
            <xdr:cNvPr id="27652" name="B_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9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Guantes impermeables (0,03)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3</xdr:row>
          <xdr:rowOff>95250</xdr:rowOff>
        </xdr:from>
        <xdr:to>
          <xdr:col>3</xdr:col>
          <xdr:colOff>2657475</xdr:colOff>
          <xdr:row>3</xdr:row>
          <xdr:rowOff>1123950</xdr:rowOff>
        </xdr:to>
        <xdr:sp macro="" textlink="">
          <xdr:nvSpPr>
            <xdr:cNvPr id="27653" name="Group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9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4</xdr:row>
          <xdr:rowOff>228600</xdr:rowOff>
        </xdr:from>
        <xdr:to>
          <xdr:col>3</xdr:col>
          <xdr:colOff>1200150</xdr:colOff>
          <xdr:row>4</xdr:row>
          <xdr:rowOff>438150</xdr:rowOff>
        </xdr:to>
        <xdr:sp macro="" textlink="">
          <xdr:nvSpPr>
            <xdr:cNvPr id="27668" name="B_5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9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4</xdr:row>
          <xdr:rowOff>419100</xdr:rowOff>
        </xdr:from>
        <xdr:to>
          <xdr:col>3</xdr:col>
          <xdr:colOff>1200150</xdr:colOff>
          <xdr:row>4</xdr:row>
          <xdr:rowOff>628650</xdr:rowOff>
        </xdr:to>
        <xdr:sp macro="" textlink="">
          <xdr:nvSpPr>
            <xdr:cNvPr id="27669" name="B_6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9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</xdr:row>
          <xdr:rowOff>123825</xdr:rowOff>
        </xdr:from>
        <xdr:to>
          <xdr:col>3</xdr:col>
          <xdr:colOff>2286000</xdr:colOff>
          <xdr:row>4</xdr:row>
          <xdr:rowOff>657225</xdr:rowOff>
        </xdr:to>
        <xdr:sp macro="" textlink="">
          <xdr:nvSpPr>
            <xdr:cNvPr id="27670" name="Group Box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9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5</xdr:row>
          <xdr:rowOff>180975</xdr:rowOff>
        </xdr:from>
        <xdr:to>
          <xdr:col>3</xdr:col>
          <xdr:colOff>2181225</xdr:colOff>
          <xdr:row>5</xdr:row>
          <xdr:rowOff>352425</xdr:rowOff>
        </xdr:to>
        <xdr:sp macro="" textlink="">
          <xdr:nvSpPr>
            <xdr:cNvPr id="27671" name="B_7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9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&lt;25% de la duración de la tarea (10)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5</xdr:row>
          <xdr:rowOff>352425</xdr:rowOff>
        </xdr:from>
        <xdr:to>
          <xdr:col>3</xdr:col>
          <xdr:colOff>2190750</xdr:colOff>
          <xdr:row>5</xdr:row>
          <xdr:rowOff>533400</xdr:rowOff>
        </xdr:to>
        <xdr:sp macro="" textlink="">
          <xdr:nvSpPr>
            <xdr:cNvPr id="27672" name="B_8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9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25-99% de duración de la tarea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5</xdr:row>
          <xdr:rowOff>523875</xdr:rowOff>
        </xdr:from>
        <xdr:to>
          <xdr:col>3</xdr:col>
          <xdr:colOff>2228850</xdr:colOff>
          <xdr:row>5</xdr:row>
          <xdr:rowOff>723900</xdr:rowOff>
        </xdr:to>
        <xdr:sp macro="" textlink="">
          <xdr:nvSpPr>
            <xdr:cNvPr id="27673" name="B_9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9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100% de duración de la tarea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5</xdr:row>
          <xdr:rowOff>85725</xdr:rowOff>
        </xdr:from>
        <xdr:to>
          <xdr:col>3</xdr:col>
          <xdr:colOff>2266950</xdr:colOff>
          <xdr:row>5</xdr:row>
          <xdr:rowOff>904875</xdr:rowOff>
        </xdr:to>
        <xdr:sp macro="" textlink="">
          <xdr:nvSpPr>
            <xdr:cNvPr id="27674" name="Group Box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9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6</xdr:row>
          <xdr:rowOff>171450</xdr:rowOff>
        </xdr:from>
        <xdr:to>
          <xdr:col>3</xdr:col>
          <xdr:colOff>2152650</xdr:colOff>
          <xdr:row>6</xdr:row>
          <xdr:rowOff>400050</xdr:rowOff>
        </xdr:to>
        <xdr:sp macro="" textlink="">
          <xdr:nvSpPr>
            <xdr:cNvPr id="27679" name="B_10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9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Después de haberlos usado 1 vez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6</xdr:row>
          <xdr:rowOff>323850</xdr:rowOff>
        </xdr:from>
        <xdr:to>
          <xdr:col>3</xdr:col>
          <xdr:colOff>2152650</xdr:colOff>
          <xdr:row>6</xdr:row>
          <xdr:rowOff>552450</xdr:rowOff>
        </xdr:to>
        <xdr:sp macro="" textlink="">
          <xdr:nvSpPr>
            <xdr:cNvPr id="27680" name="B_11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9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Diariamente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6</xdr:row>
          <xdr:rowOff>476250</xdr:rowOff>
        </xdr:from>
        <xdr:to>
          <xdr:col>3</xdr:col>
          <xdr:colOff>1228725</xdr:colOff>
          <xdr:row>6</xdr:row>
          <xdr:rowOff>695325</xdr:rowOff>
        </xdr:to>
        <xdr:sp macro="" textlink="">
          <xdr:nvSpPr>
            <xdr:cNvPr id="27681" name="B_12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9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Semanalmente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6</xdr:row>
          <xdr:rowOff>628650</xdr:rowOff>
        </xdr:from>
        <xdr:to>
          <xdr:col>3</xdr:col>
          <xdr:colOff>1228725</xdr:colOff>
          <xdr:row>6</xdr:row>
          <xdr:rowOff>838200</xdr:rowOff>
        </xdr:to>
        <xdr:sp macro="" textlink="">
          <xdr:nvSpPr>
            <xdr:cNvPr id="27682" name="B_13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9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Mensualmente (10)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6</xdr:row>
          <xdr:rowOff>76200</xdr:rowOff>
        </xdr:from>
        <xdr:to>
          <xdr:col>3</xdr:col>
          <xdr:colOff>2276475</xdr:colOff>
          <xdr:row>6</xdr:row>
          <xdr:rowOff>876300</xdr:rowOff>
        </xdr:to>
        <xdr:sp macro="" textlink="">
          <xdr:nvSpPr>
            <xdr:cNvPr id="27683" name="Group Box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9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7</xdr:row>
          <xdr:rowOff>161925</xdr:rowOff>
        </xdr:from>
        <xdr:to>
          <xdr:col>3</xdr:col>
          <xdr:colOff>1238250</xdr:colOff>
          <xdr:row>7</xdr:row>
          <xdr:rowOff>381000</xdr:rowOff>
        </xdr:to>
        <xdr:sp macro="" textlink="">
          <xdr:nvSpPr>
            <xdr:cNvPr id="27684" name="B_14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9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7</xdr:row>
          <xdr:rowOff>342900</xdr:rowOff>
        </xdr:from>
        <xdr:to>
          <xdr:col>3</xdr:col>
          <xdr:colOff>1238250</xdr:colOff>
          <xdr:row>7</xdr:row>
          <xdr:rowOff>542925</xdr:rowOff>
        </xdr:to>
        <xdr:sp macro="" textlink="">
          <xdr:nvSpPr>
            <xdr:cNvPr id="27685" name="B_15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9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7</xdr:row>
          <xdr:rowOff>47625</xdr:rowOff>
        </xdr:from>
        <xdr:to>
          <xdr:col>3</xdr:col>
          <xdr:colOff>2266950</xdr:colOff>
          <xdr:row>7</xdr:row>
          <xdr:rowOff>762000</xdr:rowOff>
        </xdr:to>
        <xdr:sp macro="" textlink="">
          <xdr:nvSpPr>
            <xdr:cNvPr id="27686" name="Group Box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9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8</xdr:row>
          <xdr:rowOff>142875</xdr:rowOff>
        </xdr:from>
        <xdr:to>
          <xdr:col>3</xdr:col>
          <xdr:colOff>2000250</xdr:colOff>
          <xdr:row>8</xdr:row>
          <xdr:rowOff>361950</xdr:rowOff>
        </xdr:to>
        <xdr:sp macro="" textlink="">
          <xdr:nvSpPr>
            <xdr:cNvPr id="27687" name="B_16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9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Después de haberlos usado 1 vez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8</xdr:row>
          <xdr:rowOff>295275</xdr:rowOff>
        </xdr:from>
        <xdr:to>
          <xdr:col>3</xdr:col>
          <xdr:colOff>2000250</xdr:colOff>
          <xdr:row>8</xdr:row>
          <xdr:rowOff>514350</xdr:rowOff>
        </xdr:to>
        <xdr:sp macro="" textlink="">
          <xdr:nvSpPr>
            <xdr:cNvPr id="27688" name="B_17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9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Diariamente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8</xdr:row>
          <xdr:rowOff>438150</xdr:rowOff>
        </xdr:from>
        <xdr:to>
          <xdr:col>3</xdr:col>
          <xdr:colOff>2000250</xdr:colOff>
          <xdr:row>8</xdr:row>
          <xdr:rowOff>657225</xdr:rowOff>
        </xdr:to>
        <xdr:sp macro="" textlink="">
          <xdr:nvSpPr>
            <xdr:cNvPr id="27689" name="B_18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9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Semanalmente/mensualmente (10)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8</xdr:row>
          <xdr:rowOff>76200</xdr:rowOff>
        </xdr:from>
        <xdr:to>
          <xdr:col>3</xdr:col>
          <xdr:colOff>2266950</xdr:colOff>
          <xdr:row>8</xdr:row>
          <xdr:rowOff>819150</xdr:rowOff>
        </xdr:to>
        <xdr:sp macro="" textlink="">
          <xdr:nvSpPr>
            <xdr:cNvPr id="27690" name="Group Box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9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URF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9</xdr:row>
          <xdr:rowOff>257175</xdr:rowOff>
        </xdr:from>
        <xdr:to>
          <xdr:col>3</xdr:col>
          <xdr:colOff>1228725</xdr:colOff>
          <xdr:row>9</xdr:row>
          <xdr:rowOff>476250</xdr:rowOff>
        </xdr:to>
        <xdr:sp macro="" textlink="">
          <xdr:nvSpPr>
            <xdr:cNvPr id="27691" name="B_19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9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9</xdr:row>
          <xdr:rowOff>428625</xdr:rowOff>
        </xdr:from>
        <xdr:to>
          <xdr:col>3</xdr:col>
          <xdr:colOff>1228725</xdr:colOff>
          <xdr:row>9</xdr:row>
          <xdr:rowOff>638175</xdr:rowOff>
        </xdr:to>
        <xdr:sp macro="" textlink="">
          <xdr:nvSpPr>
            <xdr:cNvPr id="27692" name="B_20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9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Sí (0,3)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9</xdr:row>
          <xdr:rowOff>76200</xdr:rowOff>
        </xdr:from>
        <xdr:to>
          <xdr:col>3</xdr:col>
          <xdr:colOff>2257425</xdr:colOff>
          <xdr:row>9</xdr:row>
          <xdr:rowOff>790575</xdr:rowOff>
        </xdr:to>
        <xdr:sp macro="" textlink="">
          <xdr:nvSpPr>
            <xdr:cNvPr id="27693" name="Group Box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9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BC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2266950</xdr:colOff>
      <xdr:row>10</xdr:row>
      <xdr:rowOff>139637</xdr:rowOff>
    </xdr:from>
    <xdr:to>
      <xdr:col>3</xdr:col>
      <xdr:colOff>2706926</xdr:colOff>
      <xdr:row>11</xdr:row>
      <xdr:rowOff>157544</xdr:rowOff>
    </xdr:to>
    <xdr:sp macro="" textlink="">
      <xdr:nvSpPr>
        <xdr:cNvPr id="60" name="Flecha: a la derecha 5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SpPr/>
      </xdr:nvSpPr>
      <xdr:spPr>
        <a:xfrm>
          <a:off x="6518910" y="7233857"/>
          <a:ext cx="439976" cy="208407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0</xdr:colOff>
      <xdr:row>10</xdr:row>
      <xdr:rowOff>139637</xdr:rowOff>
    </xdr:from>
    <xdr:to>
      <xdr:col>1</xdr:col>
      <xdr:colOff>439976</xdr:colOff>
      <xdr:row>11</xdr:row>
      <xdr:rowOff>157544</xdr:rowOff>
    </xdr:to>
    <xdr:sp macro="" textlink="">
      <xdr:nvSpPr>
        <xdr:cNvPr id="61" name="Flecha: a la derecha 6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SpPr/>
      </xdr:nvSpPr>
      <xdr:spPr>
        <a:xfrm flipH="1">
          <a:off x="1417320" y="7233857"/>
          <a:ext cx="439976" cy="208407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124242</xdr:colOff>
      <xdr:row>10</xdr:row>
      <xdr:rowOff>110490</xdr:rowOff>
    </xdr:from>
    <xdr:to>
      <xdr:col>2</xdr:col>
      <xdr:colOff>1133892</xdr:colOff>
      <xdr:row>12</xdr:row>
      <xdr:rowOff>3810</xdr:rowOff>
    </xdr:to>
    <xdr:sp macro="[0]!CleanGuantes.CleanGuantes" textlink="">
      <xdr:nvSpPr>
        <xdr:cNvPr id="74" name="Rectángulo 73">
          <a:extLs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SpPr/>
      </xdr:nvSpPr>
      <xdr:spPr>
        <a:xfrm>
          <a:off x="2273082" y="7204710"/>
          <a:ext cx="1009650" cy="26670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000"/>
            <a:t>Limpiar datos</a:t>
          </a:r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1013459</xdr:colOff>
      <xdr:row>5</xdr:row>
      <xdr:rowOff>751453</xdr:rowOff>
    </xdr:to>
    <xdr:grpSp>
      <xdr:nvGrpSpPr>
        <xdr:cNvPr id="45" name="Grupo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0" y="390525"/>
          <a:ext cx="1013459" cy="2942203"/>
          <a:chOff x="0" y="365760"/>
          <a:chExt cx="1013459" cy="2946013"/>
        </a:xfrm>
      </xdr:grpSpPr>
      <xdr:sp macro="" textlink="">
        <xdr:nvSpPr>
          <xdr:cNvPr id="46" name="Redondear rectángulo de esquina del mismo lado 4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 rot="5400000">
            <a:off x="378655" y="1198685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6. Exposición</a:t>
            </a:r>
          </a:p>
        </xdr:txBody>
      </xdr:sp>
      <xdr:grpSp>
        <xdr:nvGrpSpPr>
          <xdr:cNvPr id="47" name="Grupo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GrpSpPr/>
        </xdr:nvGrpSpPr>
        <xdr:grpSpPr>
          <a:xfrm>
            <a:off x="0" y="365760"/>
            <a:ext cx="1013459" cy="2946013"/>
            <a:chOff x="0" y="365760"/>
            <a:chExt cx="1013459" cy="2946013"/>
          </a:xfrm>
        </xdr:grpSpPr>
        <xdr:sp macro="" textlink="">
          <xdr:nvSpPr>
            <xdr:cNvPr id="48" name="Redondear rectángulo de esquina del mismo lado 4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900-000030000000}"/>
                </a:ext>
              </a:extLst>
            </xdr:cNvPr>
            <xdr:cNvSpPr/>
          </xdr:nvSpPr>
          <xdr:spPr>
            <a:xfrm rot="5400000">
              <a:off x="378655" y="-1289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1.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Empresa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49" name="Redondear rectángulo de esquina del mismo lado 48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900-000031000000}"/>
                </a:ext>
              </a:extLst>
            </xdr:cNvPr>
            <xdr:cNvSpPr/>
          </xdr:nvSpPr>
          <xdr:spPr>
            <a:xfrm rot="5400000">
              <a:off x="378654" y="467167"/>
              <a:ext cx="256152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chemeClr val="tx1"/>
                  </a:solidFill>
                </a:rPr>
                <a:t>3. Puesto</a:t>
              </a:r>
            </a:p>
          </xdr:txBody>
        </xdr:sp>
        <xdr:sp macro="" textlink="">
          <xdr:nvSpPr>
            <xdr:cNvPr id="50" name="Redondear rectángulo de esquina del mismo lado 4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900-000032000000}"/>
                </a:ext>
              </a:extLst>
            </xdr:cNvPr>
            <xdr:cNvSpPr/>
          </xdr:nvSpPr>
          <xdr:spPr>
            <a:xfrm rot="5400000">
              <a:off x="378655" y="71100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4. Tarea</a:t>
              </a:r>
            </a:p>
          </xdr:txBody>
        </xdr:sp>
        <xdr:sp macro="" textlink="">
          <xdr:nvSpPr>
            <xdr:cNvPr id="51" name="Redondear rectángulo de esquina del mismo lado 5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900-000033000000}"/>
                </a:ext>
              </a:extLst>
            </xdr:cNvPr>
            <xdr:cNvSpPr/>
          </xdr:nvSpPr>
          <xdr:spPr>
            <a:xfrm rot="5400000">
              <a:off x="378655" y="95484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5.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Agente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52" name="Redondear rectángulo de esquina del mismo lado 5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900-000034000000}"/>
                </a:ext>
              </a:extLst>
            </xdr:cNvPr>
            <xdr:cNvSpPr/>
          </xdr:nvSpPr>
          <xdr:spPr>
            <a:xfrm rot="5400000">
              <a:off x="378655" y="144252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Emisión</a:t>
              </a:r>
            </a:p>
          </xdr:txBody>
        </xdr:sp>
        <xdr:sp macro="" textlink="">
          <xdr:nvSpPr>
            <xdr:cNvPr id="53" name="Redondear rectángulo de esquina del mismo lado 5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900-000035000000}"/>
                </a:ext>
              </a:extLst>
            </xdr:cNvPr>
            <xdr:cNvSpPr/>
          </xdr:nvSpPr>
          <xdr:spPr>
            <a:xfrm rot="5400000">
              <a:off x="378655" y="168636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Deposición</a:t>
              </a:r>
            </a:p>
          </xdr:txBody>
        </xdr:sp>
        <xdr:sp macro="" textlink="">
          <xdr:nvSpPr>
            <xdr:cNvPr id="54" name="Redondear rectángulo de esquina del mismo lado 53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900-000036000000}"/>
                </a:ext>
              </a:extLst>
            </xdr:cNvPr>
            <xdr:cNvSpPr/>
          </xdr:nvSpPr>
          <xdr:spPr>
            <a:xfrm rot="5400000">
              <a:off x="378655" y="193020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Transferencia</a:t>
              </a:r>
            </a:p>
          </xdr:txBody>
        </xdr:sp>
        <xdr:sp macro="" textlink="">
          <xdr:nvSpPr>
            <xdr:cNvPr id="55" name="Redondear rectángulo de esquina del mismo lado 54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900-000037000000}"/>
                </a:ext>
              </a:extLst>
            </xdr:cNvPr>
            <xdr:cNvSpPr/>
          </xdr:nvSpPr>
          <xdr:spPr>
            <a:xfrm rot="5400000">
              <a:off x="378655" y="2174049"/>
              <a:ext cx="256150" cy="1013459"/>
            </a:xfrm>
            <a:prstGeom prst="round2SameRect">
              <a:avLst/>
            </a:prstGeom>
            <a:solidFill>
              <a:schemeClr val="accent3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chemeClr val="bg1"/>
                  </a:solidFill>
                </a:rPr>
                <a:t>Guantes</a:t>
              </a:r>
            </a:p>
          </xdr:txBody>
        </xdr:sp>
        <xdr:sp macro="" textlink="">
          <xdr:nvSpPr>
            <xdr:cNvPr id="56" name="Redondear rectángulo de esquina del mismo lado 5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900-000038000000}"/>
                </a:ext>
              </a:extLst>
            </xdr:cNvPr>
            <xdr:cNvSpPr/>
          </xdr:nvSpPr>
          <xdr:spPr>
            <a:xfrm rot="5400000">
              <a:off x="378655" y="241788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Ropa</a:t>
              </a:r>
            </a:p>
          </xdr:txBody>
        </xdr:sp>
        <xdr:sp macro="" textlink="">
          <xdr:nvSpPr>
            <xdr:cNvPr id="57" name="Redondear rectángulo de esquina del mismo lado 56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900-000039000000}"/>
                </a:ext>
              </a:extLst>
            </xdr:cNvPr>
            <xdr:cNvSpPr/>
          </xdr:nvSpPr>
          <xdr:spPr>
            <a:xfrm rot="5400000">
              <a:off x="382465" y="227137"/>
              <a:ext cx="24853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2.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Departamento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58" name="Redondear rectángulo de esquina del mismo lado 57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900-00003A000000}"/>
                </a:ext>
              </a:extLst>
            </xdr:cNvPr>
            <xdr:cNvSpPr/>
          </xdr:nvSpPr>
          <xdr:spPr>
            <a:xfrm rot="5400000">
              <a:off x="378655" y="2676968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Resultados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4</xdr:row>
          <xdr:rowOff>228600</xdr:rowOff>
        </xdr:from>
        <xdr:to>
          <xdr:col>3</xdr:col>
          <xdr:colOff>1800225</xdr:colOff>
          <xdr:row>4</xdr:row>
          <xdr:rowOff>438150</xdr:rowOff>
        </xdr:to>
        <xdr:sp macro="" textlink="">
          <xdr:nvSpPr>
            <xdr:cNvPr id="27694" name="B_21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9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5</xdr:row>
          <xdr:rowOff>714375</xdr:rowOff>
        </xdr:from>
        <xdr:to>
          <xdr:col>3</xdr:col>
          <xdr:colOff>1200150</xdr:colOff>
          <xdr:row>5</xdr:row>
          <xdr:rowOff>866775</xdr:rowOff>
        </xdr:to>
        <xdr:sp macro="" textlink="">
          <xdr:nvSpPr>
            <xdr:cNvPr id="27697" name="B_22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9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1352550</xdr:colOff>
          <xdr:row>6</xdr:row>
          <xdr:rowOff>628650</xdr:rowOff>
        </xdr:from>
        <xdr:to>
          <xdr:col>3</xdr:col>
          <xdr:colOff>2009775</xdr:colOff>
          <xdr:row>6</xdr:row>
          <xdr:rowOff>828675</xdr:rowOff>
        </xdr:to>
        <xdr:sp macro="" textlink="">
          <xdr:nvSpPr>
            <xdr:cNvPr id="27698" name="B_23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9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7</xdr:row>
          <xdr:rowOff>514350</xdr:rowOff>
        </xdr:from>
        <xdr:to>
          <xdr:col>3</xdr:col>
          <xdr:colOff>1238250</xdr:colOff>
          <xdr:row>7</xdr:row>
          <xdr:rowOff>723900</xdr:rowOff>
        </xdr:to>
        <xdr:sp macro="" textlink="">
          <xdr:nvSpPr>
            <xdr:cNvPr id="27700" name="B_24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9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8</xdr:row>
          <xdr:rowOff>590550</xdr:rowOff>
        </xdr:from>
        <xdr:to>
          <xdr:col>3</xdr:col>
          <xdr:colOff>819150</xdr:colOff>
          <xdr:row>8</xdr:row>
          <xdr:rowOff>800100</xdr:rowOff>
        </xdr:to>
        <xdr:sp macro="" textlink="">
          <xdr:nvSpPr>
            <xdr:cNvPr id="27701" name="B_25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9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 Aplica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6</xdr:row>
          <xdr:rowOff>38100</xdr:rowOff>
        </xdr:from>
        <xdr:to>
          <xdr:col>3</xdr:col>
          <xdr:colOff>704850</xdr:colOff>
          <xdr:row>6</xdr:row>
          <xdr:rowOff>504825</xdr:rowOff>
        </xdr:to>
        <xdr:sp macro="" textlink="">
          <xdr:nvSpPr>
            <xdr:cNvPr id="44033" name="Group Box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A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C_HE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6</xdr:row>
          <xdr:rowOff>76200</xdr:rowOff>
        </xdr:from>
        <xdr:to>
          <xdr:col>2</xdr:col>
          <xdr:colOff>542925</xdr:colOff>
          <xdr:row>6</xdr:row>
          <xdr:rowOff>352425</xdr:rowOff>
        </xdr:to>
        <xdr:sp macro="" textlink="">
          <xdr:nvSpPr>
            <xdr:cNvPr id="44034" name="B_1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A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</xdr:row>
          <xdr:rowOff>123825</xdr:rowOff>
        </xdr:from>
        <xdr:to>
          <xdr:col>3</xdr:col>
          <xdr:colOff>523875</xdr:colOff>
          <xdr:row>6</xdr:row>
          <xdr:rowOff>352425</xdr:rowOff>
        </xdr:to>
        <xdr:sp macro="" textlink="">
          <xdr:nvSpPr>
            <xdr:cNvPr id="44037" name="B_2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A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7</xdr:row>
          <xdr:rowOff>47625</xdr:rowOff>
        </xdr:from>
        <xdr:to>
          <xdr:col>3</xdr:col>
          <xdr:colOff>704850</xdr:colOff>
          <xdr:row>7</xdr:row>
          <xdr:rowOff>466725</xdr:rowOff>
        </xdr:to>
        <xdr:sp macro="" textlink="">
          <xdr:nvSpPr>
            <xdr:cNvPr id="44038" name="Group Box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A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C_UA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7</xdr:row>
          <xdr:rowOff>133350</xdr:rowOff>
        </xdr:from>
        <xdr:to>
          <xdr:col>2</xdr:col>
          <xdr:colOff>514350</xdr:colOff>
          <xdr:row>7</xdr:row>
          <xdr:rowOff>361950</xdr:rowOff>
        </xdr:to>
        <xdr:sp macro="" textlink="">
          <xdr:nvSpPr>
            <xdr:cNvPr id="44039" name="B_10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A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</xdr:row>
          <xdr:rowOff>171450</xdr:rowOff>
        </xdr:from>
        <xdr:to>
          <xdr:col>3</xdr:col>
          <xdr:colOff>523875</xdr:colOff>
          <xdr:row>7</xdr:row>
          <xdr:rowOff>361950</xdr:rowOff>
        </xdr:to>
        <xdr:sp macro="" textlink="">
          <xdr:nvSpPr>
            <xdr:cNvPr id="44040" name="B_11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A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8</xdr:row>
          <xdr:rowOff>38100</xdr:rowOff>
        </xdr:from>
        <xdr:to>
          <xdr:col>3</xdr:col>
          <xdr:colOff>704850</xdr:colOff>
          <xdr:row>8</xdr:row>
          <xdr:rowOff>457200</xdr:rowOff>
        </xdr:to>
        <xdr:sp macro="" textlink="">
          <xdr:nvSpPr>
            <xdr:cNvPr id="44041" name="Group Box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A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C_FA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8</xdr:row>
          <xdr:rowOff>133350</xdr:rowOff>
        </xdr:from>
        <xdr:to>
          <xdr:col>2</xdr:col>
          <xdr:colOff>514350</xdr:colOff>
          <xdr:row>8</xdr:row>
          <xdr:rowOff>352425</xdr:rowOff>
        </xdr:to>
        <xdr:sp macro="" textlink="">
          <xdr:nvSpPr>
            <xdr:cNvPr id="44042" name="B_19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A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</xdr:row>
          <xdr:rowOff>171450</xdr:rowOff>
        </xdr:from>
        <xdr:to>
          <xdr:col>3</xdr:col>
          <xdr:colOff>523875</xdr:colOff>
          <xdr:row>8</xdr:row>
          <xdr:rowOff>352425</xdr:rowOff>
        </xdr:to>
        <xdr:sp macro="" textlink="">
          <xdr:nvSpPr>
            <xdr:cNvPr id="44043" name="B_20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A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9</xdr:row>
          <xdr:rowOff>38100</xdr:rowOff>
        </xdr:from>
        <xdr:to>
          <xdr:col>3</xdr:col>
          <xdr:colOff>714375</xdr:colOff>
          <xdr:row>9</xdr:row>
          <xdr:rowOff>457200</xdr:rowOff>
        </xdr:to>
        <xdr:sp macro="" textlink="">
          <xdr:nvSpPr>
            <xdr:cNvPr id="44044" name="Group Box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A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C_TF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9</xdr:row>
          <xdr:rowOff>133350</xdr:rowOff>
        </xdr:from>
        <xdr:to>
          <xdr:col>2</xdr:col>
          <xdr:colOff>514350</xdr:colOff>
          <xdr:row>9</xdr:row>
          <xdr:rowOff>352425</xdr:rowOff>
        </xdr:to>
        <xdr:sp macro="" textlink="">
          <xdr:nvSpPr>
            <xdr:cNvPr id="44045" name="B_28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A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9</xdr:row>
          <xdr:rowOff>171450</xdr:rowOff>
        </xdr:from>
        <xdr:to>
          <xdr:col>3</xdr:col>
          <xdr:colOff>533400</xdr:colOff>
          <xdr:row>9</xdr:row>
          <xdr:rowOff>352425</xdr:rowOff>
        </xdr:to>
        <xdr:sp macro="" textlink="">
          <xdr:nvSpPr>
            <xdr:cNvPr id="44046" name="B_29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A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10</xdr:row>
          <xdr:rowOff>38100</xdr:rowOff>
        </xdr:from>
        <xdr:to>
          <xdr:col>3</xdr:col>
          <xdr:colOff>723900</xdr:colOff>
          <xdr:row>10</xdr:row>
          <xdr:rowOff>457200</xdr:rowOff>
        </xdr:to>
        <xdr:sp macro="" textlink="">
          <xdr:nvSpPr>
            <xdr:cNvPr id="44047" name="Group Box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A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C_TB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10</xdr:row>
          <xdr:rowOff>133350</xdr:rowOff>
        </xdr:from>
        <xdr:to>
          <xdr:col>2</xdr:col>
          <xdr:colOff>523875</xdr:colOff>
          <xdr:row>10</xdr:row>
          <xdr:rowOff>352425</xdr:rowOff>
        </xdr:to>
        <xdr:sp macro="" textlink="">
          <xdr:nvSpPr>
            <xdr:cNvPr id="44048" name="B_37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A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10</xdr:row>
          <xdr:rowOff>171450</xdr:rowOff>
        </xdr:from>
        <xdr:to>
          <xdr:col>3</xdr:col>
          <xdr:colOff>542925</xdr:colOff>
          <xdr:row>10</xdr:row>
          <xdr:rowOff>352425</xdr:rowOff>
        </xdr:to>
        <xdr:sp macro="" textlink="">
          <xdr:nvSpPr>
            <xdr:cNvPr id="44049" name="B_38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A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11</xdr:row>
          <xdr:rowOff>38100</xdr:rowOff>
        </xdr:from>
        <xdr:to>
          <xdr:col>3</xdr:col>
          <xdr:colOff>723900</xdr:colOff>
          <xdr:row>11</xdr:row>
          <xdr:rowOff>457200</xdr:rowOff>
        </xdr:to>
        <xdr:sp macro="" textlink="">
          <xdr:nvSpPr>
            <xdr:cNvPr id="44050" name="Group Box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A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C_LB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11</xdr:row>
          <xdr:rowOff>133350</xdr:rowOff>
        </xdr:from>
        <xdr:to>
          <xdr:col>2</xdr:col>
          <xdr:colOff>523875</xdr:colOff>
          <xdr:row>11</xdr:row>
          <xdr:rowOff>352425</xdr:rowOff>
        </xdr:to>
        <xdr:sp macro="" textlink="">
          <xdr:nvSpPr>
            <xdr:cNvPr id="44051" name="B_46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A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11</xdr:row>
          <xdr:rowOff>171450</xdr:rowOff>
        </xdr:from>
        <xdr:to>
          <xdr:col>3</xdr:col>
          <xdr:colOff>542925</xdr:colOff>
          <xdr:row>11</xdr:row>
          <xdr:rowOff>352425</xdr:rowOff>
        </xdr:to>
        <xdr:sp macro="" textlink="">
          <xdr:nvSpPr>
            <xdr:cNvPr id="44052" name="B_47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A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12</xdr:row>
          <xdr:rowOff>38100</xdr:rowOff>
        </xdr:from>
        <xdr:to>
          <xdr:col>3</xdr:col>
          <xdr:colOff>714375</xdr:colOff>
          <xdr:row>12</xdr:row>
          <xdr:rowOff>457200</xdr:rowOff>
        </xdr:to>
        <xdr:sp macro="" textlink="">
          <xdr:nvSpPr>
            <xdr:cNvPr id="44053" name="Group Box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A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C_LL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12</xdr:row>
          <xdr:rowOff>133350</xdr:rowOff>
        </xdr:from>
        <xdr:to>
          <xdr:col>2</xdr:col>
          <xdr:colOff>514350</xdr:colOff>
          <xdr:row>12</xdr:row>
          <xdr:rowOff>352425</xdr:rowOff>
        </xdr:to>
        <xdr:sp macro="" textlink="">
          <xdr:nvSpPr>
            <xdr:cNvPr id="44054" name="B_55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A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12</xdr:row>
          <xdr:rowOff>171450</xdr:rowOff>
        </xdr:from>
        <xdr:to>
          <xdr:col>3</xdr:col>
          <xdr:colOff>533400</xdr:colOff>
          <xdr:row>12</xdr:row>
          <xdr:rowOff>352425</xdr:rowOff>
        </xdr:to>
        <xdr:sp macro="" textlink="">
          <xdr:nvSpPr>
            <xdr:cNvPr id="44055" name="B_56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A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14</xdr:row>
          <xdr:rowOff>38100</xdr:rowOff>
        </xdr:from>
        <xdr:to>
          <xdr:col>3</xdr:col>
          <xdr:colOff>714375</xdr:colOff>
          <xdr:row>14</xdr:row>
          <xdr:rowOff>457200</xdr:rowOff>
        </xdr:to>
        <xdr:sp macro="" textlink="">
          <xdr:nvSpPr>
            <xdr:cNvPr id="44056" name="Group Box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A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C_FE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14</xdr:row>
          <xdr:rowOff>133350</xdr:rowOff>
        </xdr:from>
        <xdr:to>
          <xdr:col>2</xdr:col>
          <xdr:colOff>514350</xdr:colOff>
          <xdr:row>14</xdr:row>
          <xdr:rowOff>352425</xdr:rowOff>
        </xdr:to>
        <xdr:sp macro="" textlink="">
          <xdr:nvSpPr>
            <xdr:cNvPr id="44057" name="B_64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A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314325</xdr:colOff>
          <xdr:row>14</xdr:row>
          <xdr:rowOff>171450</xdr:rowOff>
        </xdr:from>
        <xdr:to>
          <xdr:col>3</xdr:col>
          <xdr:colOff>533400</xdr:colOff>
          <xdr:row>14</xdr:row>
          <xdr:rowOff>352425</xdr:rowOff>
        </xdr:to>
        <xdr:sp macro="" textlink="">
          <xdr:nvSpPr>
            <xdr:cNvPr id="44058" name="B_65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A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6</xdr:row>
          <xdr:rowOff>123825</xdr:rowOff>
        </xdr:from>
        <xdr:to>
          <xdr:col>4</xdr:col>
          <xdr:colOff>523875</xdr:colOff>
          <xdr:row>6</xdr:row>
          <xdr:rowOff>352425</xdr:rowOff>
        </xdr:to>
        <xdr:sp macro="" textlink="">
          <xdr:nvSpPr>
            <xdr:cNvPr id="44059" name="B_3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A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6</xdr:row>
          <xdr:rowOff>95250</xdr:rowOff>
        </xdr:from>
        <xdr:to>
          <xdr:col>5</xdr:col>
          <xdr:colOff>590550</xdr:colOff>
          <xdr:row>6</xdr:row>
          <xdr:rowOff>352425</xdr:rowOff>
        </xdr:to>
        <xdr:sp macro="" textlink="">
          <xdr:nvSpPr>
            <xdr:cNvPr id="44060" name="B_4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A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</xdr:row>
          <xdr:rowOff>66675</xdr:rowOff>
        </xdr:from>
        <xdr:to>
          <xdr:col>6</xdr:col>
          <xdr:colOff>590550</xdr:colOff>
          <xdr:row>6</xdr:row>
          <xdr:rowOff>352425</xdr:rowOff>
        </xdr:to>
        <xdr:sp macro="" textlink="">
          <xdr:nvSpPr>
            <xdr:cNvPr id="44061" name="B_5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A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47625</xdr:rowOff>
        </xdr:from>
        <xdr:to>
          <xdr:col>6</xdr:col>
          <xdr:colOff>723900</xdr:colOff>
          <xdr:row>6</xdr:row>
          <xdr:rowOff>504825</xdr:rowOff>
        </xdr:to>
        <xdr:sp macro="" textlink="">
          <xdr:nvSpPr>
            <xdr:cNvPr id="44062" name="Group Box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A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M_HE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7</xdr:row>
          <xdr:rowOff>171450</xdr:rowOff>
        </xdr:from>
        <xdr:to>
          <xdr:col>4</xdr:col>
          <xdr:colOff>485775</xdr:colOff>
          <xdr:row>7</xdr:row>
          <xdr:rowOff>361950</xdr:rowOff>
        </xdr:to>
        <xdr:sp macro="" textlink="">
          <xdr:nvSpPr>
            <xdr:cNvPr id="44063" name="B_12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A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7</xdr:row>
          <xdr:rowOff>171450</xdr:rowOff>
        </xdr:from>
        <xdr:to>
          <xdr:col>5</xdr:col>
          <xdr:colOff>571500</xdr:colOff>
          <xdr:row>7</xdr:row>
          <xdr:rowOff>361950</xdr:rowOff>
        </xdr:to>
        <xdr:sp macro="" textlink="">
          <xdr:nvSpPr>
            <xdr:cNvPr id="44064" name="B_13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A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7</xdr:row>
          <xdr:rowOff>171450</xdr:rowOff>
        </xdr:from>
        <xdr:to>
          <xdr:col>6</xdr:col>
          <xdr:colOff>523875</xdr:colOff>
          <xdr:row>7</xdr:row>
          <xdr:rowOff>361950</xdr:rowOff>
        </xdr:to>
        <xdr:sp macro="" textlink="">
          <xdr:nvSpPr>
            <xdr:cNvPr id="44065" name="B_14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A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57150</xdr:rowOff>
        </xdr:from>
        <xdr:to>
          <xdr:col>6</xdr:col>
          <xdr:colOff>723900</xdr:colOff>
          <xdr:row>7</xdr:row>
          <xdr:rowOff>457200</xdr:rowOff>
        </xdr:to>
        <xdr:sp macro="" textlink="">
          <xdr:nvSpPr>
            <xdr:cNvPr id="44066" name="Group Box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A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M_UA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8</xdr:row>
          <xdr:rowOff>171450</xdr:rowOff>
        </xdr:from>
        <xdr:to>
          <xdr:col>4</xdr:col>
          <xdr:colOff>485775</xdr:colOff>
          <xdr:row>8</xdr:row>
          <xdr:rowOff>361950</xdr:rowOff>
        </xdr:to>
        <xdr:sp macro="" textlink="">
          <xdr:nvSpPr>
            <xdr:cNvPr id="44067" name="B_21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A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8</xdr:row>
          <xdr:rowOff>171450</xdr:rowOff>
        </xdr:from>
        <xdr:to>
          <xdr:col>5</xdr:col>
          <xdr:colOff>571500</xdr:colOff>
          <xdr:row>8</xdr:row>
          <xdr:rowOff>361950</xdr:rowOff>
        </xdr:to>
        <xdr:sp macro="" textlink="">
          <xdr:nvSpPr>
            <xdr:cNvPr id="44068" name="B_22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A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8</xdr:row>
          <xdr:rowOff>171450</xdr:rowOff>
        </xdr:from>
        <xdr:to>
          <xdr:col>6</xdr:col>
          <xdr:colOff>523875</xdr:colOff>
          <xdr:row>8</xdr:row>
          <xdr:rowOff>361950</xdr:rowOff>
        </xdr:to>
        <xdr:sp macro="" textlink="">
          <xdr:nvSpPr>
            <xdr:cNvPr id="44069" name="B_23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A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57150</xdr:rowOff>
        </xdr:from>
        <xdr:to>
          <xdr:col>6</xdr:col>
          <xdr:colOff>723900</xdr:colOff>
          <xdr:row>8</xdr:row>
          <xdr:rowOff>457200</xdr:rowOff>
        </xdr:to>
        <xdr:sp macro="" textlink="">
          <xdr:nvSpPr>
            <xdr:cNvPr id="44070" name="Group Box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A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M_FA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9</xdr:row>
          <xdr:rowOff>171450</xdr:rowOff>
        </xdr:from>
        <xdr:to>
          <xdr:col>4</xdr:col>
          <xdr:colOff>485775</xdr:colOff>
          <xdr:row>9</xdr:row>
          <xdr:rowOff>361950</xdr:rowOff>
        </xdr:to>
        <xdr:sp macro="" textlink="">
          <xdr:nvSpPr>
            <xdr:cNvPr id="44071" name="B_30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A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9</xdr:row>
          <xdr:rowOff>171450</xdr:rowOff>
        </xdr:from>
        <xdr:to>
          <xdr:col>5</xdr:col>
          <xdr:colOff>571500</xdr:colOff>
          <xdr:row>9</xdr:row>
          <xdr:rowOff>361950</xdr:rowOff>
        </xdr:to>
        <xdr:sp macro="" textlink="">
          <xdr:nvSpPr>
            <xdr:cNvPr id="44072" name="B_31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A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9</xdr:row>
          <xdr:rowOff>171450</xdr:rowOff>
        </xdr:from>
        <xdr:to>
          <xdr:col>6</xdr:col>
          <xdr:colOff>523875</xdr:colOff>
          <xdr:row>9</xdr:row>
          <xdr:rowOff>361950</xdr:rowOff>
        </xdr:to>
        <xdr:sp macro="" textlink="">
          <xdr:nvSpPr>
            <xdr:cNvPr id="44073" name="B_32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A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9</xdr:row>
          <xdr:rowOff>57150</xdr:rowOff>
        </xdr:from>
        <xdr:to>
          <xdr:col>6</xdr:col>
          <xdr:colOff>723900</xdr:colOff>
          <xdr:row>9</xdr:row>
          <xdr:rowOff>457200</xdr:rowOff>
        </xdr:to>
        <xdr:sp macro="" textlink="">
          <xdr:nvSpPr>
            <xdr:cNvPr id="44074" name="Group Box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A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M_TF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10</xdr:row>
          <xdr:rowOff>171450</xdr:rowOff>
        </xdr:from>
        <xdr:to>
          <xdr:col>4</xdr:col>
          <xdr:colOff>485775</xdr:colOff>
          <xdr:row>10</xdr:row>
          <xdr:rowOff>361950</xdr:rowOff>
        </xdr:to>
        <xdr:sp macro="" textlink="">
          <xdr:nvSpPr>
            <xdr:cNvPr id="44075" name="B_39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A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10</xdr:row>
          <xdr:rowOff>171450</xdr:rowOff>
        </xdr:from>
        <xdr:to>
          <xdr:col>5</xdr:col>
          <xdr:colOff>571500</xdr:colOff>
          <xdr:row>10</xdr:row>
          <xdr:rowOff>361950</xdr:rowOff>
        </xdr:to>
        <xdr:sp macro="" textlink="">
          <xdr:nvSpPr>
            <xdr:cNvPr id="44076" name="B_40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A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10</xdr:row>
          <xdr:rowOff>171450</xdr:rowOff>
        </xdr:from>
        <xdr:to>
          <xdr:col>6</xdr:col>
          <xdr:colOff>523875</xdr:colOff>
          <xdr:row>10</xdr:row>
          <xdr:rowOff>361950</xdr:rowOff>
        </xdr:to>
        <xdr:sp macro="" textlink="">
          <xdr:nvSpPr>
            <xdr:cNvPr id="44077" name="B_41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A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10</xdr:row>
          <xdr:rowOff>57150</xdr:rowOff>
        </xdr:from>
        <xdr:to>
          <xdr:col>6</xdr:col>
          <xdr:colOff>723900</xdr:colOff>
          <xdr:row>10</xdr:row>
          <xdr:rowOff>457200</xdr:rowOff>
        </xdr:to>
        <xdr:sp macro="" textlink="">
          <xdr:nvSpPr>
            <xdr:cNvPr id="44078" name="Group Box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A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M_TB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11</xdr:row>
          <xdr:rowOff>171450</xdr:rowOff>
        </xdr:from>
        <xdr:to>
          <xdr:col>4</xdr:col>
          <xdr:colOff>485775</xdr:colOff>
          <xdr:row>11</xdr:row>
          <xdr:rowOff>361950</xdr:rowOff>
        </xdr:to>
        <xdr:sp macro="" textlink="">
          <xdr:nvSpPr>
            <xdr:cNvPr id="44079" name="B_48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A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11</xdr:row>
          <xdr:rowOff>171450</xdr:rowOff>
        </xdr:from>
        <xdr:to>
          <xdr:col>5</xdr:col>
          <xdr:colOff>571500</xdr:colOff>
          <xdr:row>11</xdr:row>
          <xdr:rowOff>361950</xdr:rowOff>
        </xdr:to>
        <xdr:sp macro="" textlink="">
          <xdr:nvSpPr>
            <xdr:cNvPr id="44080" name="B_49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A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11</xdr:row>
          <xdr:rowOff>171450</xdr:rowOff>
        </xdr:from>
        <xdr:to>
          <xdr:col>6</xdr:col>
          <xdr:colOff>523875</xdr:colOff>
          <xdr:row>11</xdr:row>
          <xdr:rowOff>361950</xdr:rowOff>
        </xdr:to>
        <xdr:sp macro="" textlink="">
          <xdr:nvSpPr>
            <xdr:cNvPr id="44081" name="B_50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A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11</xdr:row>
          <xdr:rowOff>57150</xdr:rowOff>
        </xdr:from>
        <xdr:to>
          <xdr:col>6</xdr:col>
          <xdr:colOff>723900</xdr:colOff>
          <xdr:row>11</xdr:row>
          <xdr:rowOff>457200</xdr:rowOff>
        </xdr:to>
        <xdr:sp macro="" textlink="">
          <xdr:nvSpPr>
            <xdr:cNvPr id="44082" name="Group Box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A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M_LB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12</xdr:row>
          <xdr:rowOff>171450</xdr:rowOff>
        </xdr:from>
        <xdr:to>
          <xdr:col>4</xdr:col>
          <xdr:colOff>485775</xdr:colOff>
          <xdr:row>12</xdr:row>
          <xdr:rowOff>361950</xdr:rowOff>
        </xdr:to>
        <xdr:sp macro="" textlink="">
          <xdr:nvSpPr>
            <xdr:cNvPr id="44083" name="B_57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A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12</xdr:row>
          <xdr:rowOff>171450</xdr:rowOff>
        </xdr:from>
        <xdr:to>
          <xdr:col>5</xdr:col>
          <xdr:colOff>571500</xdr:colOff>
          <xdr:row>12</xdr:row>
          <xdr:rowOff>361950</xdr:rowOff>
        </xdr:to>
        <xdr:sp macro="" textlink="">
          <xdr:nvSpPr>
            <xdr:cNvPr id="44084" name="B_58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A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12</xdr:row>
          <xdr:rowOff>171450</xdr:rowOff>
        </xdr:from>
        <xdr:to>
          <xdr:col>6</xdr:col>
          <xdr:colOff>523875</xdr:colOff>
          <xdr:row>12</xdr:row>
          <xdr:rowOff>361950</xdr:rowOff>
        </xdr:to>
        <xdr:sp macro="" textlink="">
          <xdr:nvSpPr>
            <xdr:cNvPr id="44085" name="B_59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A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12</xdr:row>
          <xdr:rowOff>57150</xdr:rowOff>
        </xdr:from>
        <xdr:to>
          <xdr:col>6</xdr:col>
          <xdr:colOff>723900</xdr:colOff>
          <xdr:row>12</xdr:row>
          <xdr:rowOff>457200</xdr:rowOff>
        </xdr:to>
        <xdr:sp macro="" textlink="">
          <xdr:nvSpPr>
            <xdr:cNvPr id="44086" name="Group Box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A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M_LL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6</xdr:row>
          <xdr:rowOff>104775</xdr:rowOff>
        </xdr:from>
        <xdr:to>
          <xdr:col>7</xdr:col>
          <xdr:colOff>504825</xdr:colOff>
          <xdr:row>6</xdr:row>
          <xdr:rowOff>371475</xdr:rowOff>
        </xdr:to>
        <xdr:sp macro="" textlink="">
          <xdr:nvSpPr>
            <xdr:cNvPr id="44087" name="B_6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A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6</xdr:row>
          <xdr:rowOff>95250</xdr:rowOff>
        </xdr:from>
        <xdr:to>
          <xdr:col>8</xdr:col>
          <xdr:colOff>590550</xdr:colOff>
          <xdr:row>6</xdr:row>
          <xdr:rowOff>371475</xdr:rowOff>
        </xdr:to>
        <xdr:sp macro="" textlink="">
          <xdr:nvSpPr>
            <xdr:cNvPr id="44088" name="B_7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A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6</xdr:row>
          <xdr:rowOff>123825</xdr:rowOff>
        </xdr:from>
        <xdr:to>
          <xdr:col>9</xdr:col>
          <xdr:colOff>504825</xdr:colOff>
          <xdr:row>6</xdr:row>
          <xdr:rowOff>371475</xdr:rowOff>
        </xdr:to>
        <xdr:sp macro="" textlink="">
          <xdr:nvSpPr>
            <xdr:cNvPr id="44089" name="B_8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A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6</xdr:row>
          <xdr:rowOff>133350</xdr:rowOff>
        </xdr:from>
        <xdr:to>
          <xdr:col>10</xdr:col>
          <xdr:colOff>504825</xdr:colOff>
          <xdr:row>6</xdr:row>
          <xdr:rowOff>371475</xdr:rowOff>
        </xdr:to>
        <xdr:sp macro="" textlink="">
          <xdr:nvSpPr>
            <xdr:cNvPr id="44090" name="B_9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A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6</xdr:row>
          <xdr:rowOff>47625</xdr:rowOff>
        </xdr:from>
        <xdr:to>
          <xdr:col>10</xdr:col>
          <xdr:colOff>676275</xdr:colOff>
          <xdr:row>6</xdr:row>
          <xdr:rowOff>504825</xdr:rowOff>
        </xdr:to>
        <xdr:sp macro="" textlink="">
          <xdr:nvSpPr>
            <xdr:cNvPr id="44091" name="Group Box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A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RF_HE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7</xdr:row>
          <xdr:rowOff>171450</xdr:rowOff>
        </xdr:from>
        <xdr:to>
          <xdr:col>7</xdr:col>
          <xdr:colOff>485775</xdr:colOff>
          <xdr:row>7</xdr:row>
          <xdr:rowOff>371475</xdr:rowOff>
        </xdr:to>
        <xdr:sp macro="" textlink="">
          <xdr:nvSpPr>
            <xdr:cNvPr id="44092" name="B_15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A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7</xdr:row>
          <xdr:rowOff>171450</xdr:rowOff>
        </xdr:from>
        <xdr:to>
          <xdr:col>8</xdr:col>
          <xdr:colOff>485775</xdr:colOff>
          <xdr:row>7</xdr:row>
          <xdr:rowOff>371475</xdr:rowOff>
        </xdr:to>
        <xdr:sp macro="" textlink="">
          <xdr:nvSpPr>
            <xdr:cNvPr id="44093" name="B_16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A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7</xdr:row>
          <xdr:rowOff>171450</xdr:rowOff>
        </xdr:from>
        <xdr:to>
          <xdr:col>9</xdr:col>
          <xdr:colOff>495300</xdr:colOff>
          <xdr:row>7</xdr:row>
          <xdr:rowOff>371475</xdr:rowOff>
        </xdr:to>
        <xdr:sp macro="" textlink="">
          <xdr:nvSpPr>
            <xdr:cNvPr id="44094" name="B_17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A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7</xdr:row>
          <xdr:rowOff>171450</xdr:rowOff>
        </xdr:from>
        <xdr:to>
          <xdr:col>10</xdr:col>
          <xdr:colOff>495300</xdr:colOff>
          <xdr:row>7</xdr:row>
          <xdr:rowOff>371475</xdr:rowOff>
        </xdr:to>
        <xdr:sp macro="" textlink="">
          <xdr:nvSpPr>
            <xdr:cNvPr id="44095" name="B_18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A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7</xdr:row>
          <xdr:rowOff>47625</xdr:rowOff>
        </xdr:from>
        <xdr:to>
          <xdr:col>10</xdr:col>
          <xdr:colOff>676275</xdr:colOff>
          <xdr:row>7</xdr:row>
          <xdr:rowOff>447675</xdr:rowOff>
        </xdr:to>
        <xdr:sp macro="" textlink="">
          <xdr:nvSpPr>
            <xdr:cNvPr id="44096" name="Group Box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A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RF_UA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8</xdr:row>
          <xdr:rowOff>171450</xdr:rowOff>
        </xdr:from>
        <xdr:to>
          <xdr:col>7</xdr:col>
          <xdr:colOff>485775</xdr:colOff>
          <xdr:row>8</xdr:row>
          <xdr:rowOff>371475</xdr:rowOff>
        </xdr:to>
        <xdr:sp macro="" textlink="">
          <xdr:nvSpPr>
            <xdr:cNvPr id="44097" name="B_24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A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8</xdr:row>
          <xdr:rowOff>171450</xdr:rowOff>
        </xdr:from>
        <xdr:to>
          <xdr:col>8</xdr:col>
          <xdr:colOff>485775</xdr:colOff>
          <xdr:row>8</xdr:row>
          <xdr:rowOff>371475</xdr:rowOff>
        </xdr:to>
        <xdr:sp macro="" textlink="">
          <xdr:nvSpPr>
            <xdr:cNvPr id="44098" name="B_25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A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8</xdr:row>
          <xdr:rowOff>171450</xdr:rowOff>
        </xdr:from>
        <xdr:to>
          <xdr:col>9</xdr:col>
          <xdr:colOff>495300</xdr:colOff>
          <xdr:row>8</xdr:row>
          <xdr:rowOff>371475</xdr:rowOff>
        </xdr:to>
        <xdr:sp macro="" textlink="">
          <xdr:nvSpPr>
            <xdr:cNvPr id="44099" name="B_26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A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8</xdr:row>
          <xdr:rowOff>171450</xdr:rowOff>
        </xdr:from>
        <xdr:to>
          <xdr:col>10</xdr:col>
          <xdr:colOff>495300</xdr:colOff>
          <xdr:row>8</xdr:row>
          <xdr:rowOff>371475</xdr:rowOff>
        </xdr:to>
        <xdr:sp macro="" textlink="">
          <xdr:nvSpPr>
            <xdr:cNvPr id="44100" name="B_27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A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8</xdr:row>
          <xdr:rowOff>47625</xdr:rowOff>
        </xdr:from>
        <xdr:to>
          <xdr:col>10</xdr:col>
          <xdr:colOff>676275</xdr:colOff>
          <xdr:row>8</xdr:row>
          <xdr:rowOff>447675</xdr:rowOff>
        </xdr:to>
        <xdr:sp macro="" textlink="">
          <xdr:nvSpPr>
            <xdr:cNvPr id="44101" name="Group Box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A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RF_FA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9</xdr:row>
          <xdr:rowOff>171450</xdr:rowOff>
        </xdr:from>
        <xdr:to>
          <xdr:col>7</xdr:col>
          <xdr:colOff>485775</xdr:colOff>
          <xdr:row>9</xdr:row>
          <xdr:rowOff>371475</xdr:rowOff>
        </xdr:to>
        <xdr:sp macro="" textlink="">
          <xdr:nvSpPr>
            <xdr:cNvPr id="44107" name="B_33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A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9</xdr:row>
          <xdr:rowOff>171450</xdr:rowOff>
        </xdr:from>
        <xdr:to>
          <xdr:col>8</xdr:col>
          <xdr:colOff>485775</xdr:colOff>
          <xdr:row>9</xdr:row>
          <xdr:rowOff>371475</xdr:rowOff>
        </xdr:to>
        <xdr:sp macro="" textlink="">
          <xdr:nvSpPr>
            <xdr:cNvPr id="44108" name="B_34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A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9</xdr:row>
          <xdr:rowOff>171450</xdr:rowOff>
        </xdr:from>
        <xdr:to>
          <xdr:col>9</xdr:col>
          <xdr:colOff>495300</xdr:colOff>
          <xdr:row>9</xdr:row>
          <xdr:rowOff>371475</xdr:rowOff>
        </xdr:to>
        <xdr:sp macro="" textlink="">
          <xdr:nvSpPr>
            <xdr:cNvPr id="44109" name="B_35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A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9</xdr:row>
          <xdr:rowOff>171450</xdr:rowOff>
        </xdr:from>
        <xdr:to>
          <xdr:col>10</xdr:col>
          <xdr:colOff>495300</xdr:colOff>
          <xdr:row>9</xdr:row>
          <xdr:rowOff>371475</xdr:rowOff>
        </xdr:to>
        <xdr:sp macro="" textlink="">
          <xdr:nvSpPr>
            <xdr:cNvPr id="44110" name="B_36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A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9</xdr:row>
          <xdr:rowOff>47625</xdr:rowOff>
        </xdr:from>
        <xdr:to>
          <xdr:col>10</xdr:col>
          <xdr:colOff>676275</xdr:colOff>
          <xdr:row>9</xdr:row>
          <xdr:rowOff>447675</xdr:rowOff>
        </xdr:to>
        <xdr:sp macro="" textlink="">
          <xdr:nvSpPr>
            <xdr:cNvPr id="44111" name="Group Box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A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RF_TF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10</xdr:row>
          <xdr:rowOff>171450</xdr:rowOff>
        </xdr:from>
        <xdr:to>
          <xdr:col>7</xdr:col>
          <xdr:colOff>485775</xdr:colOff>
          <xdr:row>10</xdr:row>
          <xdr:rowOff>371475</xdr:rowOff>
        </xdr:to>
        <xdr:sp macro="" textlink="">
          <xdr:nvSpPr>
            <xdr:cNvPr id="44112" name="B_42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A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10</xdr:row>
          <xdr:rowOff>171450</xdr:rowOff>
        </xdr:from>
        <xdr:to>
          <xdr:col>8</xdr:col>
          <xdr:colOff>485775</xdr:colOff>
          <xdr:row>10</xdr:row>
          <xdr:rowOff>371475</xdr:rowOff>
        </xdr:to>
        <xdr:sp macro="" textlink="">
          <xdr:nvSpPr>
            <xdr:cNvPr id="44113" name="B_43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A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10</xdr:row>
          <xdr:rowOff>171450</xdr:rowOff>
        </xdr:from>
        <xdr:to>
          <xdr:col>9</xdr:col>
          <xdr:colOff>495300</xdr:colOff>
          <xdr:row>10</xdr:row>
          <xdr:rowOff>371475</xdr:rowOff>
        </xdr:to>
        <xdr:sp macro="" textlink="">
          <xdr:nvSpPr>
            <xdr:cNvPr id="44114" name="B_44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A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10</xdr:row>
          <xdr:rowOff>171450</xdr:rowOff>
        </xdr:from>
        <xdr:to>
          <xdr:col>10</xdr:col>
          <xdr:colOff>495300</xdr:colOff>
          <xdr:row>10</xdr:row>
          <xdr:rowOff>371475</xdr:rowOff>
        </xdr:to>
        <xdr:sp macro="" textlink="">
          <xdr:nvSpPr>
            <xdr:cNvPr id="44115" name="B_45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A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10</xdr:row>
          <xdr:rowOff>47625</xdr:rowOff>
        </xdr:from>
        <xdr:to>
          <xdr:col>10</xdr:col>
          <xdr:colOff>676275</xdr:colOff>
          <xdr:row>10</xdr:row>
          <xdr:rowOff>447675</xdr:rowOff>
        </xdr:to>
        <xdr:sp macro="" textlink="">
          <xdr:nvSpPr>
            <xdr:cNvPr id="44116" name="Group Box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A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RF_TB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11</xdr:row>
          <xdr:rowOff>171450</xdr:rowOff>
        </xdr:from>
        <xdr:to>
          <xdr:col>7</xdr:col>
          <xdr:colOff>485775</xdr:colOff>
          <xdr:row>11</xdr:row>
          <xdr:rowOff>371475</xdr:rowOff>
        </xdr:to>
        <xdr:sp macro="" textlink="">
          <xdr:nvSpPr>
            <xdr:cNvPr id="44117" name="B_51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A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11</xdr:row>
          <xdr:rowOff>171450</xdr:rowOff>
        </xdr:from>
        <xdr:to>
          <xdr:col>8</xdr:col>
          <xdr:colOff>485775</xdr:colOff>
          <xdr:row>11</xdr:row>
          <xdr:rowOff>371475</xdr:rowOff>
        </xdr:to>
        <xdr:sp macro="" textlink="">
          <xdr:nvSpPr>
            <xdr:cNvPr id="44118" name="B_52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A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11</xdr:row>
          <xdr:rowOff>171450</xdr:rowOff>
        </xdr:from>
        <xdr:to>
          <xdr:col>9</xdr:col>
          <xdr:colOff>495300</xdr:colOff>
          <xdr:row>11</xdr:row>
          <xdr:rowOff>371475</xdr:rowOff>
        </xdr:to>
        <xdr:sp macro="" textlink="">
          <xdr:nvSpPr>
            <xdr:cNvPr id="44119" name="B_53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A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11</xdr:row>
          <xdr:rowOff>171450</xdr:rowOff>
        </xdr:from>
        <xdr:to>
          <xdr:col>10</xdr:col>
          <xdr:colOff>495300</xdr:colOff>
          <xdr:row>11</xdr:row>
          <xdr:rowOff>371475</xdr:rowOff>
        </xdr:to>
        <xdr:sp macro="" textlink="">
          <xdr:nvSpPr>
            <xdr:cNvPr id="44120" name="B_54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A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11</xdr:row>
          <xdr:rowOff>47625</xdr:rowOff>
        </xdr:from>
        <xdr:to>
          <xdr:col>10</xdr:col>
          <xdr:colOff>676275</xdr:colOff>
          <xdr:row>11</xdr:row>
          <xdr:rowOff>447675</xdr:rowOff>
        </xdr:to>
        <xdr:sp macro="" textlink="">
          <xdr:nvSpPr>
            <xdr:cNvPr id="44121" name="Group Box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A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RF_LB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12</xdr:row>
          <xdr:rowOff>171450</xdr:rowOff>
        </xdr:from>
        <xdr:to>
          <xdr:col>7</xdr:col>
          <xdr:colOff>485775</xdr:colOff>
          <xdr:row>12</xdr:row>
          <xdr:rowOff>371475</xdr:rowOff>
        </xdr:to>
        <xdr:sp macro="" textlink="">
          <xdr:nvSpPr>
            <xdr:cNvPr id="44122" name="B_6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A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12</xdr:row>
          <xdr:rowOff>171450</xdr:rowOff>
        </xdr:from>
        <xdr:to>
          <xdr:col>8</xdr:col>
          <xdr:colOff>485775</xdr:colOff>
          <xdr:row>12</xdr:row>
          <xdr:rowOff>371475</xdr:rowOff>
        </xdr:to>
        <xdr:sp macro="" textlink="">
          <xdr:nvSpPr>
            <xdr:cNvPr id="44123" name="B_6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A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12</xdr:row>
          <xdr:rowOff>171450</xdr:rowOff>
        </xdr:from>
        <xdr:to>
          <xdr:col>9</xdr:col>
          <xdr:colOff>495300</xdr:colOff>
          <xdr:row>12</xdr:row>
          <xdr:rowOff>371475</xdr:rowOff>
        </xdr:to>
        <xdr:sp macro="" textlink="">
          <xdr:nvSpPr>
            <xdr:cNvPr id="44124" name="B_6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A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12</xdr:row>
          <xdr:rowOff>171450</xdr:rowOff>
        </xdr:from>
        <xdr:to>
          <xdr:col>10</xdr:col>
          <xdr:colOff>495300</xdr:colOff>
          <xdr:row>12</xdr:row>
          <xdr:rowOff>371475</xdr:rowOff>
        </xdr:to>
        <xdr:sp macro="" textlink="">
          <xdr:nvSpPr>
            <xdr:cNvPr id="44125" name="B_6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A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12</xdr:row>
          <xdr:rowOff>47625</xdr:rowOff>
        </xdr:from>
        <xdr:to>
          <xdr:col>10</xdr:col>
          <xdr:colOff>676275</xdr:colOff>
          <xdr:row>12</xdr:row>
          <xdr:rowOff>447675</xdr:rowOff>
        </xdr:to>
        <xdr:sp macro="" textlink="">
          <xdr:nvSpPr>
            <xdr:cNvPr id="44126" name="Group Box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A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RF_LL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14</xdr:row>
          <xdr:rowOff>171450</xdr:rowOff>
        </xdr:from>
        <xdr:to>
          <xdr:col>4</xdr:col>
          <xdr:colOff>485775</xdr:colOff>
          <xdr:row>14</xdr:row>
          <xdr:rowOff>361950</xdr:rowOff>
        </xdr:to>
        <xdr:sp macro="" textlink="">
          <xdr:nvSpPr>
            <xdr:cNvPr id="44140" name="B_66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A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14</xdr:row>
          <xdr:rowOff>171450</xdr:rowOff>
        </xdr:from>
        <xdr:to>
          <xdr:col>5</xdr:col>
          <xdr:colOff>571500</xdr:colOff>
          <xdr:row>14</xdr:row>
          <xdr:rowOff>361950</xdr:rowOff>
        </xdr:to>
        <xdr:sp macro="" textlink="">
          <xdr:nvSpPr>
            <xdr:cNvPr id="44141" name="B_67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A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14</xdr:row>
          <xdr:rowOff>171450</xdr:rowOff>
        </xdr:from>
        <xdr:to>
          <xdr:col>6</xdr:col>
          <xdr:colOff>523875</xdr:colOff>
          <xdr:row>14</xdr:row>
          <xdr:rowOff>361950</xdr:rowOff>
        </xdr:to>
        <xdr:sp macro="" textlink="">
          <xdr:nvSpPr>
            <xdr:cNvPr id="44142" name="B_68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A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14</xdr:row>
          <xdr:rowOff>57150</xdr:rowOff>
        </xdr:from>
        <xdr:to>
          <xdr:col>6</xdr:col>
          <xdr:colOff>723900</xdr:colOff>
          <xdr:row>14</xdr:row>
          <xdr:rowOff>457200</xdr:rowOff>
        </xdr:to>
        <xdr:sp macro="" textlink="">
          <xdr:nvSpPr>
            <xdr:cNvPr id="44143" name="Group Box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A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M_FE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14</xdr:row>
          <xdr:rowOff>171450</xdr:rowOff>
        </xdr:from>
        <xdr:to>
          <xdr:col>7</xdr:col>
          <xdr:colOff>485775</xdr:colOff>
          <xdr:row>14</xdr:row>
          <xdr:rowOff>371475</xdr:rowOff>
        </xdr:to>
        <xdr:sp macro="" textlink="">
          <xdr:nvSpPr>
            <xdr:cNvPr id="44144" name="B_69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A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14</xdr:row>
          <xdr:rowOff>171450</xdr:rowOff>
        </xdr:from>
        <xdr:to>
          <xdr:col>8</xdr:col>
          <xdr:colOff>485775</xdr:colOff>
          <xdr:row>14</xdr:row>
          <xdr:rowOff>371475</xdr:rowOff>
        </xdr:to>
        <xdr:sp macro="" textlink="">
          <xdr:nvSpPr>
            <xdr:cNvPr id="44145" name="B_70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A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14</xdr:row>
          <xdr:rowOff>171450</xdr:rowOff>
        </xdr:from>
        <xdr:to>
          <xdr:col>9</xdr:col>
          <xdr:colOff>495300</xdr:colOff>
          <xdr:row>14</xdr:row>
          <xdr:rowOff>371475</xdr:rowOff>
        </xdr:to>
        <xdr:sp macro="" textlink="">
          <xdr:nvSpPr>
            <xdr:cNvPr id="44146" name="B_71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A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14</xdr:row>
          <xdr:rowOff>171450</xdr:rowOff>
        </xdr:from>
        <xdr:to>
          <xdr:col>10</xdr:col>
          <xdr:colOff>495300</xdr:colOff>
          <xdr:row>14</xdr:row>
          <xdr:rowOff>371475</xdr:rowOff>
        </xdr:to>
        <xdr:sp macro="" textlink="">
          <xdr:nvSpPr>
            <xdr:cNvPr id="44147" name="B_72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A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14</xdr:row>
          <xdr:rowOff>47625</xdr:rowOff>
        </xdr:from>
        <xdr:to>
          <xdr:col>10</xdr:col>
          <xdr:colOff>676275</xdr:colOff>
          <xdr:row>14</xdr:row>
          <xdr:rowOff>447675</xdr:rowOff>
        </xdr:to>
        <xdr:sp macro="" textlink="">
          <xdr:nvSpPr>
            <xdr:cNvPr id="44148" name="Group Box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A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RF_FE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323850</xdr:colOff>
      <xdr:row>15</xdr:row>
      <xdr:rowOff>139255</xdr:rowOff>
    </xdr:from>
    <xdr:to>
      <xdr:col>10</xdr:col>
      <xdr:colOff>763826</xdr:colOff>
      <xdr:row>16</xdr:row>
      <xdr:rowOff>166687</xdr:rowOff>
    </xdr:to>
    <xdr:sp macro="" textlink="">
      <xdr:nvSpPr>
        <xdr:cNvPr id="122" name="Flecha: a la derecha 1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SpPr/>
      </xdr:nvSpPr>
      <xdr:spPr>
        <a:xfrm>
          <a:off x="9003030" y="6372415"/>
          <a:ext cx="439976" cy="21031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0</xdr:colOff>
      <xdr:row>15</xdr:row>
      <xdr:rowOff>139255</xdr:rowOff>
    </xdr:from>
    <xdr:to>
      <xdr:col>1</xdr:col>
      <xdr:colOff>439976</xdr:colOff>
      <xdr:row>16</xdr:row>
      <xdr:rowOff>166687</xdr:rowOff>
    </xdr:to>
    <xdr:sp macro="" textlink="">
      <xdr:nvSpPr>
        <xdr:cNvPr id="123" name="Flecha: a la derecha 1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SpPr/>
      </xdr:nvSpPr>
      <xdr:spPr>
        <a:xfrm flipH="1">
          <a:off x="1417320" y="6372415"/>
          <a:ext cx="439976" cy="210312"/>
        </a:xfrm>
        <a:prstGeom prst="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684312</xdr:colOff>
      <xdr:row>15</xdr:row>
      <xdr:rowOff>111061</xdr:rowOff>
    </xdr:from>
    <xdr:to>
      <xdr:col>4</xdr:col>
      <xdr:colOff>109002</xdr:colOff>
      <xdr:row>16</xdr:row>
      <xdr:rowOff>194881</xdr:rowOff>
    </xdr:to>
    <xdr:sp macro="[0]!CleanRopa.CleanRopa" textlink="">
      <xdr:nvSpPr>
        <xdr:cNvPr id="136" name="Rectángulo 135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SpPr/>
      </xdr:nvSpPr>
      <xdr:spPr>
        <a:xfrm>
          <a:off x="2894112" y="6344221"/>
          <a:ext cx="1009650" cy="266700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000"/>
            <a:t>Limpiar datos</a:t>
          </a:r>
        </a:p>
      </xdr:txBody>
    </xdr:sp>
    <xdr:clientData/>
  </xdr:twoCellAnchor>
  <xdr:twoCellAnchor>
    <xdr:from>
      <xdr:col>0</xdr:col>
      <xdr:colOff>0</xdr:colOff>
      <xdr:row>2</xdr:row>
      <xdr:rowOff>9525</xdr:rowOff>
    </xdr:from>
    <xdr:to>
      <xdr:col>0</xdr:col>
      <xdr:colOff>1013459</xdr:colOff>
      <xdr:row>9</xdr:row>
      <xdr:rowOff>164713</xdr:rowOff>
    </xdr:to>
    <xdr:grpSp>
      <xdr:nvGrpSpPr>
        <xdr:cNvPr id="145" name="Grupo 144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GrpSpPr/>
      </xdr:nvGrpSpPr>
      <xdr:grpSpPr>
        <a:xfrm>
          <a:off x="0" y="390525"/>
          <a:ext cx="1013459" cy="2955538"/>
          <a:chOff x="0" y="365760"/>
          <a:chExt cx="1013459" cy="2946013"/>
        </a:xfrm>
      </xdr:grpSpPr>
      <xdr:sp macro="" textlink="">
        <xdr:nvSpPr>
          <xdr:cNvPr id="146" name="Redondear rectángulo de esquina del mismo lado 14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A00-000092000000}"/>
              </a:ext>
            </a:extLst>
          </xdr:cNvPr>
          <xdr:cNvSpPr/>
        </xdr:nvSpPr>
        <xdr:spPr>
          <a:xfrm rot="5400000">
            <a:off x="378655" y="1198685"/>
            <a:ext cx="256150" cy="1013459"/>
          </a:xfrm>
          <a:prstGeom prst="round2SameRect">
            <a:avLst/>
          </a:prstGeom>
          <a:solidFill>
            <a:schemeClr val="accent3">
              <a:lumMod val="20000"/>
              <a:lumOff val="8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000">
                <a:solidFill>
                  <a:sysClr val="windowText" lastClr="000000"/>
                </a:solidFill>
              </a:rPr>
              <a:t>6. Exposición</a:t>
            </a:r>
          </a:p>
        </xdr:txBody>
      </xdr:sp>
      <xdr:grpSp>
        <xdr:nvGrpSpPr>
          <xdr:cNvPr id="147" name="Grupo 146">
            <a:extLst>
              <a:ext uri="{FF2B5EF4-FFF2-40B4-BE49-F238E27FC236}">
                <a16:creationId xmlns:a16="http://schemas.microsoft.com/office/drawing/2014/main" id="{00000000-0008-0000-0A00-000093000000}"/>
              </a:ext>
            </a:extLst>
          </xdr:cNvPr>
          <xdr:cNvGrpSpPr/>
        </xdr:nvGrpSpPr>
        <xdr:grpSpPr>
          <a:xfrm>
            <a:off x="0" y="365760"/>
            <a:ext cx="1013459" cy="2946013"/>
            <a:chOff x="0" y="365760"/>
            <a:chExt cx="1013459" cy="2946013"/>
          </a:xfrm>
        </xdr:grpSpPr>
        <xdr:sp macro="" textlink="">
          <xdr:nvSpPr>
            <xdr:cNvPr id="148" name="Redondear rectángulo de esquina del mismo lado 14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A00-000094000000}"/>
                </a:ext>
              </a:extLst>
            </xdr:cNvPr>
            <xdr:cNvSpPr/>
          </xdr:nvSpPr>
          <xdr:spPr>
            <a:xfrm rot="5400000">
              <a:off x="378655" y="-1289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1.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Empresa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49" name="Redondear rectángulo de esquina del mismo lado 148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A00-000095000000}"/>
                </a:ext>
              </a:extLst>
            </xdr:cNvPr>
            <xdr:cNvSpPr/>
          </xdr:nvSpPr>
          <xdr:spPr>
            <a:xfrm rot="5400000">
              <a:off x="378654" y="467167"/>
              <a:ext cx="256152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chemeClr val="tx1"/>
                  </a:solidFill>
                </a:rPr>
                <a:t>3. Puesto</a:t>
              </a:r>
            </a:p>
          </xdr:txBody>
        </xdr:sp>
        <xdr:sp macro="" textlink="">
          <xdr:nvSpPr>
            <xdr:cNvPr id="150" name="Redondear rectángulo de esquina del mismo lado 14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A00-000096000000}"/>
                </a:ext>
              </a:extLst>
            </xdr:cNvPr>
            <xdr:cNvSpPr/>
          </xdr:nvSpPr>
          <xdr:spPr>
            <a:xfrm rot="5400000">
              <a:off x="378655" y="71100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4. Tarea</a:t>
              </a:r>
            </a:p>
          </xdr:txBody>
        </xdr:sp>
        <xdr:sp macro="" textlink="">
          <xdr:nvSpPr>
            <xdr:cNvPr id="151" name="Redondear rectángulo de esquina del mismo lado 15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A00-000097000000}"/>
                </a:ext>
              </a:extLst>
            </xdr:cNvPr>
            <xdr:cNvSpPr/>
          </xdr:nvSpPr>
          <xdr:spPr>
            <a:xfrm rot="5400000">
              <a:off x="378655" y="95484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5.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Agente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52" name="Redondear rectángulo de esquina del mismo lado 151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A00-000098000000}"/>
                </a:ext>
              </a:extLst>
            </xdr:cNvPr>
            <xdr:cNvSpPr/>
          </xdr:nvSpPr>
          <xdr:spPr>
            <a:xfrm rot="5400000">
              <a:off x="378655" y="144252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Emisión</a:t>
              </a:r>
            </a:p>
          </xdr:txBody>
        </xdr:sp>
        <xdr:sp macro="" textlink="">
          <xdr:nvSpPr>
            <xdr:cNvPr id="153" name="Redondear rectángulo de esquina del mismo lado 15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A00-000099000000}"/>
                </a:ext>
              </a:extLst>
            </xdr:cNvPr>
            <xdr:cNvSpPr/>
          </xdr:nvSpPr>
          <xdr:spPr>
            <a:xfrm rot="5400000">
              <a:off x="378655" y="1686365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Deposición</a:t>
              </a:r>
            </a:p>
          </xdr:txBody>
        </xdr:sp>
        <xdr:sp macro="" textlink="">
          <xdr:nvSpPr>
            <xdr:cNvPr id="154" name="Redondear rectángulo de esquina del mismo lado 15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A00-00009A000000}"/>
                </a:ext>
              </a:extLst>
            </xdr:cNvPr>
            <xdr:cNvSpPr/>
          </xdr:nvSpPr>
          <xdr:spPr>
            <a:xfrm rot="5400000">
              <a:off x="378655" y="1930207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Transferencia</a:t>
              </a:r>
            </a:p>
          </xdr:txBody>
        </xdr:sp>
        <xdr:sp macro="" textlink="">
          <xdr:nvSpPr>
            <xdr:cNvPr id="155" name="Redondear rectángulo de esquina del mismo lado 15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A00-00009B000000}"/>
                </a:ext>
              </a:extLst>
            </xdr:cNvPr>
            <xdr:cNvSpPr/>
          </xdr:nvSpPr>
          <xdr:spPr>
            <a:xfrm rot="5400000">
              <a:off x="378655" y="2174049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Guantes</a:t>
              </a:r>
            </a:p>
          </xdr:txBody>
        </xdr:sp>
        <xdr:sp macro="" textlink="">
          <xdr:nvSpPr>
            <xdr:cNvPr id="156" name="Redondear rectángulo de esquina del mismo lado 155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A00-00009C000000}"/>
                </a:ext>
              </a:extLst>
            </xdr:cNvPr>
            <xdr:cNvSpPr/>
          </xdr:nvSpPr>
          <xdr:spPr>
            <a:xfrm rot="5400000">
              <a:off x="378655" y="2417887"/>
              <a:ext cx="256150" cy="1013459"/>
            </a:xfrm>
            <a:prstGeom prst="round2SameRect">
              <a:avLst/>
            </a:prstGeom>
            <a:solidFill>
              <a:schemeClr val="accent3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50">
                  <a:solidFill>
                    <a:schemeClr val="bg1"/>
                  </a:solidFill>
                </a:rPr>
                <a:t>Ropa</a:t>
              </a:r>
            </a:p>
          </xdr:txBody>
        </xdr:sp>
        <xdr:sp macro="" textlink="">
          <xdr:nvSpPr>
            <xdr:cNvPr id="157" name="Redondear rectángulo de esquina del mismo lado 15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A00-00009D000000}"/>
                </a:ext>
              </a:extLst>
            </xdr:cNvPr>
            <xdr:cNvSpPr/>
          </xdr:nvSpPr>
          <xdr:spPr>
            <a:xfrm rot="5400000">
              <a:off x="382465" y="227137"/>
              <a:ext cx="24853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2.</a:t>
              </a:r>
              <a:r>
                <a:rPr lang="en-US" sz="1000" baseline="0">
                  <a:solidFill>
                    <a:sysClr val="windowText" lastClr="000000"/>
                  </a:solidFill>
                </a:rPr>
                <a:t> Departamento</a:t>
              </a:r>
              <a:endParaRPr lang="en-US" sz="1000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58" name="Redondear rectángulo de esquina del mismo lado 15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A00-00009E000000}"/>
                </a:ext>
              </a:extLst>
            </xdr:cNvPr>
            <xdr:cNvSpPr/>
          </xdr:nvSpPr>
          <xdr:spPr>
            <a:xfrm rot="5400000">
              <a:off x="378655" y="2676968"/>
              <a:ext cx="256150" cy="1013459"/>
            </a:xfrm>
            <a:prstGeom prst="round2SameRect">
              <a:avLst/>
            </a:prstGeom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l"/>
              <a:r>
                <a:rPr lang="en-US" sz="1000">
                  <a:solidFill>
                    <a:sysClr val="windowText" lastClr="000000"/>
                  </a:solidFill>
                </a:rPr>
                <a:t>Resultados</a:t>
              </a:r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26539</xdr:colOff>
      <xdr:row>1</xdr:row>
      <xdr:rowOff>43128</xdr:rowOff>
    </xdr:from>
    <xdr:to>
      <xdr:col>6</xdr:col>
      <xdr:colOff>241804</xdr:colOff>
      <xdr:row>2</xdr:row>
      <xdr:rowOff>146542</xdr:rowOff>
    </xdr:to>
    <xdr:sp macro="[0]!Export_Data.Export_Data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3974122" y="233628"/>
          <a:ext cx="987849" cy="293914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</a:rPr>
            <a:t>Exportar</a:t>
          </a:r>
          <a:r>
            <a:rPr lang="en-US" sz="1000" baseline="0">
              <a:solidFill>
                <a:schemeClr val="bg1"/>
              </a:solidFill>
            </a:rPr>
            <a:t> datos</a:t>
          </a:r>
          <a:endParaRPr lang="en-US" sz="10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151327</xdr:colOff>
      <xdr:row>0</xdr:row>
      <xdr:rowOff>161032</xdr:rowOff>
    </xdr:from>
    <xdr:to>
      <xdr:col>4</xdr:col>
      <xdr:colOff>362509</xdr:colOff>
      <xdr:row>3</xdr:row>
      <xdr:rowOff>0</xdr:rowOff>
    </xdr:to>
    <xdr:sp macro="[0]!registar_cuestionario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469077" y="161032"/>
          <a:ext cx="983765" cy="410468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900"/>
            <a:t>Registrar</a:t>
          </a:r>
          <a:r>
            <a:rPr lang="es-ES" sz="900" baseline="0"/>
            <a:t> datos y obtener indices</a:t>
          </a:r>
          <a:endParaRPr lang="es-ES" sz="900"/>
        </a:p>
      </xdr:txBody>
    </xdr:sp>
    <xdr:clientData/>
  </xdr:twoCellAnchor>
  <xdr:twoCellAnchor>
    <xdr:from>
      <xdr:col>6</xdr:col>
      <xdr:colOff>390839</xdr:colOff>
      <xdr:row>1</xdr:row>
      <xdr:rowOff>41314</xdr:rowOff>
    </xdr:from>
    <xdr:to>
      <xdr:col>7</xdr:col>
      <xdr:colOff>608009</xdr:colOff>
      <xdr:row>2</xdr:row>
      <xdr:rowOff>148357</xdr:rowOff>
    </xdr:to>
    <xdr:sp macro="[0]!CleanData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111006" y="231814"/>
          <a:ext cx="989753" cy="297543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/>
            <a:t>Borrar datos</a:t>
          </a:r>
        </a:p>
      </xdr:txBody>
    </xdr:sp>
    <xdr:clientData/>
  </xdr:twoCellAnchor>
  <xdr:twoCellAnchor>
    <xdr:from>
      <xdr:col>0</xdr:col>
      <xdr:colOff>72572</xdr:colOff>
      <xdr:row>0</xdr:row>
      <xdr:rowOff>159319</xdr:rowOff>
    </xdr:from>
    <xdr:to>
      <xdr:col>0</xdr:col>
      <xdr:colOff>544286</xdr:colOff>
      <xdr:row>2</xdr:row>
      <xdr:rowOff>125868</xdr:rowOff>
    </xdr:to>
    <xdr:sp macro="" textlink="">
      <xdr:nvSpPr>
        <xdr:cNvPr id="2" name="Flecha a la derecha con ban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2572" y="159319"/>
          <a:ext cx="471714" cy="347549"/>
        </a:xfrm>
        <a:prstGeom prst="striped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222</xdr:col>
      <xdr:colOff>834572</xdr:colOff>
      <xdr:row>0</xdr:row>
      <xdr:rowOff>147413</xdr:rowOff>
    </xdr:from>
    <xdr:to>
      <xdr:col>222</xdr:col>
      <xdr:colOff>1306286</xdr:colOff>
      <xdr:row>2</xdr:row>
      <xdr:rowOff>113962</xdr:rowOff>
    </xdr:to>
    <xdr:sp macro="" textlink="">
      <xdr:nvSpPr>
        <xdr:cNvPr id="48" name="Flecha a la derecha con bandas 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SpPr/>
      </xdr:nvSpPr>
      <xdr:spPr>
        <a:xfrm flipH="1">
          <a:off x="176892291" y="147413"/>
          <a:ext cx="471714" cy="347549"/>
        </a:xfrm>
        <a:prstGeom prst="stripedRightArrow">
          <a:avLst/>
        </a:prstGeom>
        <a:solidFill>
          <a:schemeClr val="accent3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757043</xdr:colOff>
      <xdr:row>1</xdr:row>
      <xdr:rowOff>45547</xdr:rowOff>
    </xdr:from>
    <xdr:to>
      <xdr:col>9</xdr:col>
      <xdr:colOff>329045</xdr:colOff>
      <xdr:row>2</xdr:row>
      <xdr:rowOff>144123</xdr:rowOff>
    </xdr:to>
    <xdr:sp macro="[0]!Reinsertar_Formulas.Reinsertar_Formulas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6238248" y="236047"/>
          <a:ext cx="1113320" cy="289076"/>
        </a:xfrm>
        <a:prstGeom prst="rect">
          <a:avLst/>
        </a:prstGeom>
        <a:solidFill>
          <a:schemeClr val="accent5"/>
        </a:solidFill>
        <a:ln>
          <a:solidFill>
            <a:schemeClr val="accent5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/>
            <a:t>Reinsertar</a:t>
          </a:r>
          <a:r>
            <a:rPr lang="en-US" sz="900" baseline="0"/>
            <a:t> fórmulas</a:t>
          </a:r>
          <a:endParaRPr lang="en-US" sz="9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7" Type="http://schemas.openxmlformats.org/officeDocument/2006/relationships/ctrlProp" Target="../ctrlProps/ctrlProp3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47.xml"/><Relationship Id="rId20" Type="http://schemas.openxmlformats.org/officeDocument/2006/relationships/ctrlProp" Target="../ctrlProps/ctrlProp51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5" Type="http://schemas.openxmlformats.org/officeDocument/2006/relationships/ctrlProp" Target="../ctrlProps/ctrlProp36.x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8" Type="http://schemas.openxmlformats.org/officeDocument/2006/relationships/ctrlProp" Target="../ctrlProps/ctrlProp39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5.xml"/><Relationship Id="rId18" Type="http://schemas.openxmlformats.org/officeDocument/2006/relationships/ctrlProp" Target="../ctrlProps/ctrlProp80.xml"/><Relationship Id="rId26" Type="http://schemas.openxmlformats.org/officeDocument/2006/relationships/ctrlProp" Target="../ctrlProps/ctrlProp88.xml"/><Relationship Id="rId39" Type="http://schemas.openxmlformats.org/officeDocument/2006/relationships/ctrlProp" Target="../ctrlProps/ctrlProp101.xml"/><Relationship Id="rId21" Type="http://schemas.openxmlformats.org/officeDocument/2006/relationships/ctrlProp" Target="../ctrlProps/ctrlProp83.xml"/><Relationship Id="rId34" Type="http://schemas.openxmlformats.org/officeDocument/2006/relationships/ctrlProp" Target="../ctrlProps/ctrlProp96.xml"/><Relationship Id="rId42" Type="http://schemas.openxmlformats.org/officeDocument/2006/relationships/ctrlProp" Target="../ctrlProps/ctrlProp104.xml"/><Relationship Id="rId47" Type="http://schemas.openxmlformats.org/officeDocument/2006/relationships/ctrlProp" Target="../ctrlProps/ctrlProp109.x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78.xml"/><Relationship Id="rId29" Type="http://schemas.openxmlformats.org/officeDocument/2006/relationships/ctrlProp" Target="../ctrlProps/ctrlProp9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8.xml"/><Relationship Id="rId11" Type="http://schemas.openxmlformats.org/officeDocument/2006/relationships/ctrlProp" Target="../ctrlProps/ctrlProp73.xml"/><Relationship Id="rId24" Type="http://schemas.openxmlformats.org/officeDocument/2006/relationships/ctrlProp" Target="../ctrlProps/ctrlProp86.xml"/><Relationship Id="rId32" Type="http://schemas.openxmlformats.org/officeDocument/2006/relationships/ctrlProp" Target="../ctrlProps/ctrlProp94.xml"/><Relationship Id="rId37" Type="http://schemas.openxmlformats.org/officeDocument/2006/relationships/ctrlProp" Target="../ctrlProps/ctrlProp99.xml"/><Relationship Id="rId40" Type="http://schemas.openxmlformats.org/officeDocument/2006/relationships/ctrlProp" Target="../ctrlProps/ctrlProp102.xml"/><Relationship Id="rId45" Type="http://schemas.openxmlformats.org/officeDocument/2006/relationships/ctrlProp" Target="../ctrlProps/ctrlProp107.xml"/><Relationship Id="rId5" Type="http://schemas.openxmlformats.org/officeDocument/2006/relationships/ctrlProp" Target="../ctrlProps/ctrlProp67.xml"/><Relationship Id="rId15" Type="http://schemas.openxmlformats.org/officeDocument/2006/relationships/ctrlProp" Target="../ctrlProps/ctrlProp77.xml"/><Relationship Id="rId23" Type="http://schemas.openxmlformats.org/officeDocument/2006/relationships/ctrlProp" Target="../ctrlProps/ctrlProp85.xml"/><Relationship Id="rId28" Type="http://schemas.openxmlformats.org/officeDocument/2006/relationships/ctrlProp" Target="../ctrlProps/ctrlProp90.xml"/><Relationship Id="rId36" Type="http://schemas.openxmlformats.org/officeDocument/2006/relationships/ctrlProp" Target="../ctrlProps/ctrlProp98.xml"/><Relationship Id="rId10" Type="http://schemas.openxmlformats.org/officeDocument/2006/relationships/ctrlProp" Target="../ctrlProps/ctrlProp72.xml"/><Relationship Id="rId19" Type="http://schemas.openxmlformats.org/officeDocument/2006/relationships/ctrlProp" Target="../ctrlProps/ctrlProp81.xml"/><Relationship Id="rId31" Type="http://schemas.openxmlformats.org/officeDocument/2006/relationships/ctrlProp" Target="../ctrlProps/ctrlProp93.xml"/><Relationship Id="rId44" Type="http://schemas.openxmlformats.org/officeDocument/2006/relationships/ctrlProp" Target="../ctrlProps/ctrlProp106.xml"/><Relationship Id="rId4" Type="http://schemas.openxmlformats.org/officeDocument/2006/relationships/ctrlProp" Target="../ctrlProps/ctrlProp66.xml"/><Relationship Id="rId9" Type="http://schemas.openxmlformats.org/officeDocument/2006/relationships/ctrlProp" Target="../ctrlProps/ctrlProp71.xml"/><Relationship Id="rId14" Type="http://schemas.openxmlformats.org/officeDocument/2006/relationships/ctrlProp" Target="../ctrlProps/ctrlProp76.xml"/><Relationship Id="rId22" Type="http://schemas.openxmlformats.org/officeDocument/2006/relationships/ctrlProp" Target="../ctrlProps/ctrlProp84.xml"/><Relationship Id="rId27" Type="http://schemas.openxmlformats.org/officeDocument/2006/relationships/ctrlProp" Target="../ctrlProps/ctrlProp89.xml"/><Relationship Id="rId30" Type="http://schemas.openxmlformats.org/officeDocument/2006/relationships/ctrlProp" Target="../ctrlProps/ctrlProp92.xml"/><Relationship Id="rId35" Type="http://schemas.openxmlformats.org/officeDocument/2006/relationships/ctrlProp" Target="../ctrlProps/ctrlProp97.xml"/><Relationship Id="rId43" Type="http://schemas.openxmlformats.org/officeDocument/2006/relationships/ctrlProp" Target="../ctrlProps/ctrlProp105.xml"/><Relationship Id="rId8" Type="http://schemas.openxmlformats.org/officeDocument/2006/relationships/ctrlProp" Target="../ctrlProps/ctrlProp70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74.xml"/><Relationship Id="rId17" Type="http://schemas.openxmlformats.org/officeDocument/2006/relationships/ctrlProp" Target="../ctrlProps/ctrlProp79.xml"/><Relationship Id="rId25" Type="http://schemas.openxmlformats.org/officeDocument/2006/relationships/ctrlProp" Target="../ctrlProps/ctrlProp87.xml"/><Relationship Id="rId33" Type="http://schemas.openxmlformats.org/officeDocument/2006/relationships/ctrlProp" Target="../ctrlProps/ctrlProp95.xml"/><Relationship Id="rId38" Type="http://schemas.openxmlformats.org/officeDocument/2006/relationships/ctrlProp" Target="../ctrlProps/ctrlProp100.xml"/><Relationship Id="rId46" Type="http://schemas.openxmlformats.org/officeDocument/2006/relationships/ctrlProp" Target="../ctrlProps/ctrlProp108.xml"/><Relationship Id="rId20" Type="http://schemas.openxmlformats.org/officeDocument/2006/relationships/ctrlProp" Target="../ctrlProps/ctrlProp82.xml"/><Relationship Id="rId41" Type="http://schemas.openxmlformats.org/officeDocument/2006/relationships/ctrlProp" Target="../ctrlProps/ctrlProp103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9.xml"/><Relationship Id="rId18" Type="http://schemas.openxmlformats.org/officeDocument/2006/relationships/ctrlProp" Target="../ctrlProps/ctrlProp124.xml"/><Relationship Id="rId26" Type="http://schemas.openxmlformats.org/officeDocument/2006/relationships/ctrlProp" Target="../ctrlProps/ctrlProp132.xml"/><Relationship Id="rId39" Type="http://schemas.openxmlformats.org/officeDocument/2006/relationships/ctrlProp" Target="../ctrlProps/ctrlProp145.xml"/><Relationship Id="rId21" Type="http://schemas.openxmlformats.org/officeDocument/2006/relationships/ctrlProp" Target="../ctrlProps/ctrlProp127.xml"/><Relationship Id="rId34" Type="http://schemas.openxmlformats.org/officeDocument/2006/relationships/ctrlProp" Target="../ctrlProps/ctrlProp140.xml"/><Relationship Id="rId7" Type="http://schemas.openxmlformats.org/officeDocument/2006/relationships/ctrlProp" Target="../ctrlProps/ctrlProp113.xml"/><Relationship Id="rId12" Type="http://schemas.openxmlformats.org/officeDocument/2006/relationships/ctrlProp" Target="../ctrlProps/ctrlProp118.xml"/><Relationship Id="rId17" Type="http://schemas.openxmlformats.org/officeDocument/2006/relationships/ctrlProp" Target="../ctrlProps/ctrlProp123.xml"/><Relationship Id="rId25" Type="http://schemas.openxmlformats.org/officeDocument/2006/relationships/ctrlProp" Target="../ctrlProps/ctrlProp131.xml"/><Relationship Id="rId33" Type="http://schemas.openxmlformats.org/officeDocument/2006/relationships/ctrlProp" Target="../ctrlProps/ctrlProp139.xml"/><Relationship Id="rId38" Type="http://schemas.openxmlformats.org/officeDocument/2006/relationships/ctrlProp" Target="../ctrlProps/ctrlProp144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122.xml"/><Relationship Id="rId20" Type="http://schemas.openxmlformats.org/officeDocument/2006/relationships/ctrlProp" Target="../ctrlProps/ctrlProp126.xml"/><Relationship Id="rId29" Type="http://schemas.openxmlformats.org/officeDocument/2006/relationships/ctrlProp" Target="../ctrlProps/ctrlProp13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2.xml"/><Relationship Id="rId11" Type="http://schemas.openxmlformats.org/officeDocument/2006/relationships/ctrlProp" Target="../ctrlProps/ctrlProp117.xml"/><Relationship Id="rId24" Type="http://schemas.openxmlformats.org/officeDocument/2006/relationships/ctrlProp" Target="../ctrlProps/ctrlProp130.xml"/><Relationship Id="rId32" Type="http://schemas.openxmlformats.org/officeDocument/2006/relationships/ctrlProp" Target="../ctrlProps/ctrlProp138.xml"/><Relationship Id="rId37" Type="http://schemas.openxmlformats.org/officeDocument/2006/relationships/ctrlProp" Target="../ctrlProps/ctrlProp143.xml"/><Relationship Id="rId40" Type="http://schemas.openxmlformats.org/officeDocument/2006/relationships/ctrlProp" Target="../ctrlProps/ctrlProp146.xml"/><Relationship Id="rId5" Type="http://schemas.openxmlformats.org/officeDocument/2006/relationships/ctrlProp" Target="../ctrlProps/ctrlProp111.xml"/><Relationship Id="rId15" Type="http://schemas.openxmlformats.org/officeDocument/2006/relationships/ctrlProp" Target="../ctrlProps/ctrlProp121.xml"/><Relationship Id="rId23" Type="http://schemas.openxmlformats.org/officeDocument/2006/relationships/ctrlProp" Target="../ctrlProps/ctrlProp129.xml"/><Relationship Id="rId28" Type="http://schemas.openxmlformats.org/officeDocument/2006/relationships/ctrlProp" Target="../ctrlProps/ctrlProp134.xml"/><Relationship Id="rId36" Type="http://schemas.openxmlformats.org/officeDocument/2006/relationships/ctrlProp" Target="../ctrlProps/ctrlProp142.xml"/><Relationship Id="rId10" Type="http://schemas.openxmlformats.org/officeDocument/2006/relationships/ctrlProp" Target="../ctrlProps/ctrlProp116.xml"/><Relationship Id="rId19" Type="http://schemas.openxmlformats.org/officeDocument/2006/relationships/ctrlProp" Target="../ctrlProps/ctrlProp125.xml"/><Relationship Id="rId31" Type="http://schemas.openxmlformats.org/officeDocument/2006/relationships/ctrlProp" Target="../ctrlProps/ctrlProp137.xml"/><Relationship Id="rId4" Type="http://schemas.openxmlformats.org/officeDocument/2006/relationships/ctrlProp" Target="../ctrlProps/ctrlProp110.xml"/><Relationship Id="rId9" Type="http://schemas.openxmlformats.org/officeDocument/2006/relationships/ctrlProp" Target="../ctrlProps/ctrlProp115.xml"/><Relationship Id="rId14" Type="http://schemas.openxmlformats.org/officeDocument/2006/relationships/ctrlProp" Target="../ctrlProps/ctrlProp120.xml"/><Relationship Id="rId22" Type="http://schemas.openxmlformats.org/officeDocument/2006/relationships/ctrlProp" Target="../ctrlProps/ctrlProp128.xml"/><Relationship Id="rId27" Type="http://schemas.openxmlformats.org/officeDocument/2006/relationships/ctrlProp" Target="../ctrlProps/ctrlProp133.xml"/><Relationship Id="rId30" Type="http://schemas.openxmlformats.org/officeDocument/2006/relationships/ctrlProp" Target="../ctrlProps/ctrlProp136.xml"/><Relationship Id="rId35" Type="http://schemas.openxmlformats.org/officeDocument/2006/relationships/ctrlProp" Target="../ctrlProps/ctrlProp141.xml"/><Relationship Id="rId8" Type="http://schemas.openxmlformats.org/officeDocument/2006/relationships/ctrlProp" Target="../ctrlProps/ctrlProp114.xml"/><Relationship Id="rId3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9.xml"/><Relationship Id="rId117" Type="http://schemas.openxmlformats.org/officeDocument/2006/relationships/ctrlProp" Target="../ctrlProps/ctrlProp260.xml"/><Relationship Id="rId21" Type="http://schemas.openxmlformats.org/officeDocument/2006/relationships/ctrlProp" Target="../ctrlProps/ctrlProp164.xml"/><Relationship Id="rId42" Type="http://schemas.openxmlformats.org/officeDocument/2006/relationships/ctrlProp" Target="../ctrlProps/ctrlProp185.xml"/><Relationship Id="rId47" Type="http://schemas.openxmlformats.org/officeDocument/2006/relationships/ctrlProp" Target="../ctrlProps/ctrlProp190.xml"/><Relationship Id="rId63" Type="http://schemas.openxmlformats.org/officeDocument/2006/relationships/ctrlProp" Target="../ctrlProps/ctrlProp206.xml"/><Relationship Id="rId68" Type="http://schemas.openxmlformats.org/officeDocument/2006/relationships/ctrlProp" Target="../ctrlProps/ctrlProp211.xml"/><Relationship Id="rId84" Type="http://schemas.openxmlformats.org/officeDocument/2006/relationships/ctrlProp" Target="../ctrlProps/ctrlProp227.xml"/><Relationship Id="rId89" Type="http://schemas.openxmlformats.org/officeDocument/2006/relationships/ctrlProp" Target="../ctrlProps/ctrlProp232.xml"/><Relationship Id="rId112" Type="http://schemas.openxmlformats.org/officeDocument/2006/relationships/ctrlProp" Target="../ctrlProps/ctrlProp255.xml"/><Relationship Id="rId16" Type="http://schemas.openxmlformats.org/officeDocument/2006/relationships/ctrlProp" Target="../ctrlProps/ctrlProp159.xml"/><Relationship Id="rId107" Type="http://schemas.openxmlformats.org/officeDocument/2006/relationships/ctrlProp" Target="../ctrlProps/ctrlProp250.xml"/><Relationship Id="rId11" Type="http://schemas.openxmlformats.org/officeDocument/2006/relationships/ctrlProp" Target="../ctrlProps/ctrlProp154.xml"/><Relationship Id="rId32" Type="http://schemas.openxmlformats.org/officeDocument/2006/relationships/ctrlProp" Target="../ctrlProps/ctrlProp175.xml"/><Relationship Id="rId37" Type="http://schemas.openxmlformats.org/officeDocument/2006/relationships/ctrlProp" Target="../ctrlProps/ctrlProp180.xml"/><Relationship Id="rId53" Type="http://schemas.openxmlformats.org/officeDocument/2006/relationships/ctrlProp" Target="../ctrlProps/ctrlProp196.xml"/><Relationship Id="rId58" Type="http://schemas.openxmlformats.org/officeDocument/2006/relationships/ctrlProp" Target="../ctrlProps/ctrlProp201.xml"/><Relationship Id="rId74" Type="http://schemas.openxmlformats.org/officeDocument/2006/relationships/ctrlProp" Target="../ctrlProps/ctrlProp217.xml"/><Relationship Id="rId79" Type="http://schemas.openxmlformats.org/officeDocument/2006/relationships/ctrlProp" Target="../ctrlProps/ctrlProp222.xml"/><Relationship Id="rId102" Type="http://schemas.openxmlformats.org/officeDocument/2006/relationships/ctrlProp" Target="../ctrlProps/ctrlProp245.xml"/><Relationship Id="rId123" Type="http://schemas.openxmlformats.org/officeDocument/2006/relationships/ctrlProp" Target="../ctrlProps/ctrlProp266.xml"/><Relationship Id="rId5" Type="http://schemas.openxmlformats.org/officeDocument/2006/relationships/ctrlProp" Target="../ctrlProps/ctrlProp148.xml"/><Relationship Id="rId90" Type="http://schemas.openxmlformats.org/officeDocument/2006/relationships/ctrlProp" Target="../ctrlProps/ctrlProp233.xml"/><Relationship Id="rId95" Type="http://schemas.openxmlformats.org/officeDocument/2006/relationships/ctrlProp" Target="../ctrlProps/ctrlProp238.xml"/><Relationship Id="rId22" Type="http://schemas.openxmlformats.org/officeDocument/2006/relationships/ctrlProp" Target="../ctrlProps/ctrlProp165.xml"/><Relationship Id="rId27" Type="http://schemas.openxmlformats.org/officeDocument/2006/relationships/ctrlProp" Target="../ctrlProps/ctrlProp170.xml"/><Relationship Id="rId43" Type="http://schemas.openxmlformats.org/officeDocument/2006/relationships/ctrlProp" Target="../ctrlProps/ctrlProp186.xml"/><Relationship Id="rId48" Type="http://schemas.openxmlformats.org/officeDocument/2006/relationships/ctrlProp" Target="../ctrlProps/ctrlProp191.xml"/><Relationship Id="rId64" Type="http://schemas.openxmlformats.org/officeDocument/2006/relationships/ctrlProp" Target="../ctrlProps/ctrlProp207.xml"/><Relationship Id="rId69" Type="http://schemas.openxmlformats.org/officeDocument/2006/relationships/ctrlProp" Target="../ctrlProps/ctrlProp212.xml"/><Relationship Id="rId113" Type="http://schemas.openxmlformats.org/officeDocument/2006/relationships/ctrlProp" Target="../ctrlProps/ctrlProp256.xml"/><Relationship Id="rId118" Type="http://schemas.openxmlformats.org/officeDocument/2006/relationships/ctrlProp" Target="../ctrlProps/ctrlProp261.xml"/><Relationship Id="rId80" Type="http://schemas.openxmlformats.org/officeDocument/2006/relationships/ctrlProp" Target="../ctrlProps/ctrlProp223.xml"/><Relationship Id="rId85" Type="http://schemas.openxmlformats.org/officeDocument/2006/relationships/ctrlProp" Target="../ctrlProps/ctrlProp228.xml"/><Relationship Id="rId12" Type="http://schemas.openxmlformats.org/officeDocument/2006/relationships/ctrlProp" Target="../ctrlProps/ctrlProp155.xml"/><Relationship Id="rId17" Type="http://schemas.openxmlformats.org/officeDocument/2006/relationships/ctrlProp" Target="../ctrlProps/ctrlProp160.xml"/><Relationship Id="rId33" Type="http://schemas.openxmlformats.org/officeDocument/2006/relationships/ctrlProp" Target="../ctrlProps/ctrlProp176.xml"/><Relationship Id="rId38" Type="http://schemas.openxmlformats.org/officeDocument/2006/relationships/ctrlProp" Target="../ctrlProps/ctrlProp181.xml"/><Relationship Id="rId59" Type="http://schemas.openxmlformats.org/officeDocument/2006/relationships/ctrlProp" Target="../ctrlProps/ctrlProp202.xml"/><Relationship Id="rId103" Type="http://schemas.openxmlformats.org/officeDocument/2006/relationships/ctrlProp" Target="../ctrlProps/ctrlProp246.xml"/><Relationship Id="rId108" Type="http://schemas.openxmlformats.org/officeDocument/2006/relationships/ctrlProp" Target="../ctrlProps/ctrlProp251.xml"/><Relationship Id="rId124" Type="http://schemas.openxmlformats.org/officeDocument/2006/relationships/ctrlProp" Target="../ctrlProps/ctrlProp267.xml"/><Relationship Id="rId54" Type="http://schemas.openxmlformats.org/officeDocument/2006/relationships/ctrlProp" Target="../ctrlProps/ctrlProp197.xml"/><Relationship Id="rId70" Type="http://schemas.openxmlformats.org/officeDocument/2006/relationships/ctrlProp" Target="../ctrlProps/ctrlProp213.xml"/><Relationship Id="rId75" Type="http://schemas.openxmlformats.org/officeDocument/2006/relationships/ctrlProp" Target="../ctrlProps/ctrlProp218.xml"/><Relationship Id="rId91" Type="http://schemas.openxmlformats.org/officeDocument/2006/relationships/ctrlProp" Target="../ctrlProps/ctrlProp234.xml"/><Relationship Id="rId96" Type="http://schemas.openxmlformats.org/officeDocument/2006/relationships/ctrlProp" Target="../ctrlProps/ctrlProp23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49.xml"/><Relationship Id="rId23" Type="http://schemas.openxmlformats.org/officeDocument/2006/relationships/ctrlProp" Target="../ctrlProps/ctrlProp166.xml"/><Relationship Id="rId28" Type="http://schemas.openxmlformats.org/officeDocument/2006/relationships/ctrlProp" Target="../ctrlProps/ctrlProp171.xml"/><Relationship Id="rId49" Type="http://schemas.openxmlformats.org/officeDocument/2006/relationships/ctrlProp" Target="../ctrlProps/ctrlProp192.xml"/><Relationship Id="rId114" Type="http://schemas.openxmlformats.org/officeDocument/2006/relationships/ctrlProp" Target="../ctrlProps/ctrlProp257.xml"/><Relationship Id="rId119" Type="http://schemas.openxmlformats.org/officeDocument/2006/relationships/ctrlProp" Target="../ctrlProps/ctrlProp262.xml"/><Relationship Id="rId44" Type="http://schemas.openxmlformats.org/officeDocument/2006/relationships/ctrlProp" Target="../ctrlProps/ctrlProp187.xml"/><Relationship Id="rId60" Type="http://schemas.openxmlformats.org/officeDocument/2006/relationships/ctrlProp" Target="../ctrlProps/ctrlProp203.xml"/><Relationship Id="rId65" Type="http://schemas.openxmlformats.org/officeDocument/2006/relationships/ctrlProp" Target="../ctrlProps/ctrlProp208.xml"/><Relationship Id="rId81" Type="http://schemas.openxmlformats.org/officeDocument/2006/relationships/ctrlProp" Target="../ctrlProps/ctrlProp224.xml"/><Relationship Id="rId86" Type="http://schemas.openxmlformats.org/officeDocument/2006/relationships/ctrlProp" Target="../ctrlProps/ctrlProp229.xml"/><Relationship Id="rId13" Type="http://schemas.openxmlformats.org/officeDocument/2006/relationships/ctrlProp" Target="../ctrlProps/ctrlProp156.xml"/><Relationship Id="rId18" Type="http://schemas.openxmlformats.org/officeDocument/2006/relationships/ctrlProp" Target="../ctrlProps/ctrlProp161.xml"/><Relationship Id="rId39" Type="http://schemas.openxmlformats.org/officeDocument/2006/relationships/ctrlProp" Target="../ctrlProps/ctrlProp182.xml"/><Relationship Id="rId109" Type="http://schemas.openxmlformats.org/officeDocument/2006/relationships/ctrlProp" Target="../ctrlProps/ctrlProp252.xml"/><Relationship Id="rId34" Type="http://schemas.openxmlformats.org/officeDocument/2006/relationships/ctrlProp" Target="../ctrlProps/ctrlProp177.xml"/><Relationship Id="rId50" Type="http://schemas.openxmlformats.org/officeDocument/2006/relationships/ctrlProp" Target="../ctrlProps/ctrlProp193.xml"/><Relationship Id="rId55" Type="http://schemas.openxmlformats.org/officeDocument/2006/relationships/ctrlProp" Target="../ctrlProps/ctrlProp198.xml"/><Relationship Id="rId76" Type="http://schemas.openxmlformats.org/officeDocument/2006/relationships/ctrlProp" Target="../ctrlProps/ctrlProp219.xml"/><Relationship Id="rId97" Type="http://schemas.openxmlformats.org/officeDocument/2006/relationships/ctrlProp" Target="../ctrlProps/ctrlProp240.xml"/><Relationship Id="rId104" Type="http://schemas.openxmlformats.org/officeDocument/2006/relationships/ctrlProp" Target="../ctrlProps/ctrlProp247.xml"/><Relationship Id="rId120" Type="http://schemas.openxmlformats.org/officeDocument/2006/relationships/ctrlProp" Target="../ctrlProps/ctrlProp263.xml"/><Relationship Id="rId125" Type="http://schemas.openxmlformats.org/officeDocument/2006/relationships/ctrlProp" Target="../ctrlProps/ctrlProp268.xml"/><Relationship Id="rId7" Type="http://schemas.openxmlformats.org/officeDocument/2006/relationships/ctrlProp" Target="../ctrlProps/ctrlProp150.xml"/><Relationship Id="rId71" Type="http://schemas.openxmlformats.org/officeDocument/2006/relationships/ctrlProp" Target="../ctrlProps/ctrlProp214.xml"/><Relationship Id="rId92" Type="http://schemas.openxmlformats.org/officeDocument/2006/relationships/ctrlProp" Target="../ctrlProps/ctrlProp235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172.xml"/><Relationship Id="rId24" Type="http://schemas.openxmlformats.org/officeDocument/2006/relationships/ctrlProp" Target="../ctrlProps/ctrlProp167.xml"/><Relationship Id="rId40" Type="http://schemas.openxmlformats.org/officeDocument/2006/relationships/ctrlProp" Target="../ctrlProps/ctrlProp183.xml"/><Relationship Id="rId45" Type="http://schemas.openxmlformats.org/officeDocument/2006/relationships/ctrlProp" Target="../ctrlProps/ctrlProp188.xml"/><Relationship Id="rId66" Type="http://schemas.openxmlformats.org/officeDocument/2006/relationships/ctrlProp" Target="../ctrlProps/ctrlProp209.xml"/><Relationship Id="rId87" Type="http://schemas.openxmlformats.org/officeDocument/2006/relationships/ctrlProp" Target="../ctrlProps/ctrlProp230.xml"/><Relationship Id="rId110" Type="http://schemas.openxmlformats.org/officeDocument/2006/relationships/ctrlProp" Target="../ctrlProps/ctrlProp253.xml"/><Relationship Id="rId115" Type="http://schemas.openxmlformats.org/officeDocument/2006/relationships/ctrlProp" Target="../ctrlProps/ctrlProp258.xml"/><Relationship Id="rId61" Type="http://schemas.openxmlformats.org/officeDocument/2006/relationships/ctrlProp" Target="../ctrlProps/ctrlProp204.xml"/><Relationship Id="rId82" Type="http://schemas.openxmlformats.org/officeDocument/2006/relationships/ctrlProp" Target="../ctrlProps/ctrlProp225.xml"/><Relationship Id="rId19" Type="http://schemas.openxmlformats.org/officeDocument/2006/relationships/ctrlProp" Target="../ctrlProps/ctrlProp162.xml"/><Relationship Id="rId14" Type="http://schemas.openxmlformats.org/officeDocument/2006/relationships/ctrlProp" Target="../ctrlProps/ctrlProp157.xml"/><Relationship Id="rId30" Type="http://schemas.openxmlformats.org/officeDocument/2006/relationships/ctrlProp" Target="../ctrlProps/ctrlProp173.xml"/><Relationship Id="rId35" Type="http://schemas.openxmlformats.org/officeDocument/2006/relationships/ctrlProp" Target="../ctrlProps/ctrlProp178.xml"/><Relationship Id="rId56" Type="http://schemas.openxmlformats.org/officeDocument/2006/relationships/ctrlProp" Target="../ctrlProps/ctrlProp199.xml"/><Relationship Id="rId77" Type="http://schemas.openxmlformats.org/officeDocument/2006/relationships/ctrlProp" Target="../ctrlProps/ctrlProp220.xml"/><Relationship Id="rId100" Type="http://schemas.openxmlformats.org/officeDocument/2006/relationships/ctrlProp" Target="../ctrlProps/ctrlProp243.xml"/><Relationship Id="rId105" Type="http://schemas.openxmlformats.org/officeDocument/2006/relationships/ctrlProp" Target="../ctrlProps/ctrlProp248.xml"/><Relationship Id="rId126" Type="http://schemas.openxmlformats.org/officeDocument/2006/relationships/ctrlProp" Target="../ctrlProps/ctrlProp269.xml"/><Relationship Id="rId8" Type="http://schemas.openxmlformats.org/officeDocument/2006/relationships/ctrlProp" Target="../ctrlProps/ctrlProp151.xml"/><Relationship Id="rId51" Type="http://schemas.openxmlformats.org/officeDocument/2006/relationships/ctrlProp" Target="../ctrlProps/ctrlProp194.xml"/><Relationship Id="rId72" Type="http://schemas.openxmlformats.org/officeDocument/2006/relationships/ctrlProp" Target="../ctrlProps/ctrlProp215.xml"/><Relationship Id="rId93" Type="http://schemas.openxmlformats.org/officeDocument/2006/relationships/ctrlProp" Target="../ctrlProps/ctrlProp236.xml"/><Relationship Id="rId98" Type="http://schemas.openxmlformats.org/officeDocument/2006/relationships/ctrlProp" Target="../ctrlProps/ctrlProp241.xml"/><Relationship Id="rId121" Type="http://schemas.openxmlformats.org/officeDocument/2006/relationships/ctrlProp" Target="../ctrlProps/ctrlProp2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168.xml"/><Relationship Id="rId46" Type="http://schemas.openxmlformats.org/officeDocument/2006/relationships/ctrlProp" Target="../ctrlProps/ctrlProp189.xml"/><Relationship Id="rId67" Type="http://schemas.openxmlformats.org/officeDocument/2006/relationships/ctrlProp" Target="../ctrlProps/ctrlProp210.xml"/><Relationship Id="rId116" Type="http://schemas.openxmlformats.org/officeDocument/2006/relationships/ctrlProp" Target="../ctrlProps/ctrlProp259.xml"/><Relationship Id="rId20" Type="http://schemas.openxmlformats.org/officeDocument/2006/relationships/ctrlProp" Target="../ctrlProps/ctrlProp163.xml"/><Relationship Id="rId41" Type="http://schemas.openxmlformats.org/officeDocument/2006/relationships/ctrlProp" Target="../ctrlProps/ctrlProp184.xml"/><Relationship Id="rId62" Type="http://schemas.openxmlformats.org/officeDocument/2006/relationships/ctrlProp" Target="../ctrlProps/ctrlProp205.xml"/><Relationship Id="rId83" Type="http://schemas.openxmlformats.org/officeDocument/2006/relationships/ctrlProp" Target="../ctrlProps/ctrlProp226.xml"/><Relationship Id="rId88" Type="http://schemas.openxmlformats.org/officeDocument/2006/relationships/ctrlProp" Target="../ctrlProps/ctrlProp231.xml"/><Relationship Id="rId111" Type="http://schemas.openxmlformats.org/officeDocument/2006/relationships/ctrlProp" Target="../ctrlProps/ctrlProp254.xml"/><Relationship Id="rId15" Type="http://schemas.openxmlformats.org/officeDocument/2006/relationships/ctrlProp" Target="../ctrlProps/ctrlProp158.xml"/><Relationship Id="rId36" Type="http://schemas.openxmlformats.org/officeDocument/2006/relationships/ctrlProp" Target="../ctrlProps/ctrlProp179.xml"/><Relationship Id="rId57" Type="http://schemas.openxmlformats.org/officeDocument/2006/relationships/ctrlProp" Target="../ctrlProps/ctrlProp200.xml"/><Relationship Id="rId106" Type="http://schemas.openxmlformats.org/officeDocument/2006/relationships/ctrlProp" Target="../ctrlProps/ctrlProp249.xml"/><Relationship Id="rId127" Type="http://schemas.openxmlformats.org/officeDocument/2006/relationships/ctrlProp" Target="../ctrlProps/ctrlProp270.xml"/><Relationship Id="rId10" Type="http://schemas.openxmlformats.org/officeDocument/2006/relationships/ctrlProp" Target="../ctrlProps/ctrlProp153.xml"/><Relationship Id="rId31" Type="http://schemas.openxmlformats.org/officeDocument/2006/relationships/ctrlProp" Target="../ctrlProps/ctrlProp174.xml"/><Relationship Id="rId52" Type="http://schemas.openxmlformats.org/officeDocument/2006/relationships/ctrlProp" Target="../ctrlProps/ctrlProp195.xml"/><Relationship Id="rId73" Type="http://schemas.openxmlformats.org/officeDocument/2006/relationships/ctrlProp" Target="../ctrlProps/ctrlProp216.xml"/><Relationship Id="rId78" Type="http://schemas.openxmlformats.org/officeDocument/2006/relationships/ctrlProp" Target="../ctrlProps/ctrlProp221.xml"/><Relationship Id="rId94" Type="http://schemas.openxmlformats.org/officeDocument/2006/relationships/ctrlProp" Target="../ctrlProps/ctrlProp237.xml"/><Relationship Id="rId99" Type="http://schemas.openxmlformats.org/officeDocument/2006/relationships/ctrlProp" Target="../ctrlProps/ctrlProp242.xml"/><Relationship Id="rId101" Type="http://schemas.openxmlformats.org/officeDocument/2006/relationships/ctrlProp" Target="../ctrlProps/ctrlProp244.xml"/><Relationship Id="rId122" Type="http://schemas.openxmlformats.org/officeDocument/2006/relationships/ctrlProp" Target="../ctrlProps/ctrlProp265.xml"/><Relationship Id="rId4" Type="http://schemas.openxmlformats.org/officeDocument/2006/relationships/ctrlProp" Target="../ctrlProps/ctrlProp147.xml"/><Relationship Id="rId9" Type="http://schemas.openxmlformats.org/officeDocument/2006/relationships/ctrlProp" Target="../ctrlProps/ctrlProp152.x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80.xml"/><Relationship Id="rId18" Type="http://schemas.openxmlformats.org/officeDocument/2006/relationships/ctrlProp" Target="../ctrlProps/ctrlProp285.xml"/><Relationship Id="rId26" Type="http://schemas.openxmlformats.org/officeDocument/2006/relationships/ctrlProp" Target="../ctrlProps/ctrlProp293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88.xml"/><Relationship Id="rId34" Type="http://schemas.openxmlformats.org/officeDocument/2006/relationships/ctrlProp" Target="../ctrlProps/ctrlProp301.xml"/><Relationship Id="rId7" Type="http://schemas.openxmlformats.org/officeDocument/2006/relationships/ctrlProp" Target="../ctrlProps/ctrlProp274.xml"/><Relationship Id="rId12" Type="http://schemas.openxmlformats.org/officeDocument/2006/relationships/ctrlProp" Target="../ctrlProps/ctrlProp279.xml"/><Relationship Id="rId17" Type="http://schemas.openxmlformats.org/officeDocument/2006/relationships/ctrlProp" Target="../ctrlProps/ctrlProp284.xml"/><Relationship Id="rId25" Type="http://schemas.openxmlformats.org/officeDocument/2006/relationships/ctrlProp" Target="../ctrlProps/ctrlProp292.xml"/><Relationship Id="rId33" Type="http://schemas.openxmlformats.org/officeDocument/2006/relationships/ctrlProp" Target="../ctrlProps/ctrlProp300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283.xml"/><Relationship Id="rId20" Type="http://schemas.openxmlformats.org/officeDocument/2006/relationships/ctrlProp" Target="../ctrlProps/ctrlProp287.xml"/><Relationship Id="rId29" Type="http://schemas.openxmlformats.org/officeDocument/2006/relationships/ctrlProp" Target="../ctrlProps/ctrlProp29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73.xml"/><Relationship Id="rId11" Type="http://schemas.openxmlformats.org/officeDocument/2006/relationships/ctrlProp" Target="../ctrlProps/ctrlProp278.xml"/><Relationship Id="rId24" Type="http://schemas.openxmlformats.org/officeDocument/2006/relationships/ctrlProp" Target="../ctrlProps/ctrlProp291.xml"/><Relationship Id="rId32" Type="http://schemas.openxmlformats.org/officeDocument/2006/relationships/ctrlProp" Target="../ctrlProps/ctrlProp299.xml"/><Relationship Id="rId5" Type="http://schemas.openxmlformats.org/officeDocument/2006/relationships/ctrlProp" Target="../ctrlProps/ctrlProp272.xml"/><Relationship Id="rId15" Type="http://schemas.openxmlformats.org/officeDocument/2006/relationships/ctrlProp" Target="../ctrlProps/ctrlProp282.xml"/><Relationship Id="rId23" Type="http://schemas.openxmlformats.org/officeDocument/2006/relationships/ctrlProp" Target="../ctrlProps/ctrlProp290.xml"/><Relationship Id="rId28" Type="http://schemas.openxmlformats.org/officeDocument/2006/relationships/ctrlProp" Target="../ctrlProps/ctrlProp295.xml"/><Relationship Id="rId10" Type="http://schemas.openxmlformats.org/officeDocument/2006/relationships/ctrlProp" Target="../ctrlProps/ctrlProp277.xml"/><Relationship Id="rId19" Type="http://schemas.openxmlformats.org/officeDocument/2006/relationships/ctrlProp" Target="../ctrlProps/ctrlProp286.xml"/><Relationship Id="rId31" Type="http://schemas.openxmlformats.org/officeDocument/2006/relationships/ctrlProp" Target="../ctrlProps/ctrlProp298.xml"/><Relationship Id="rId4" Type="http://schemas.openxmlformats.org/officeDocument/2006/relationships/ctrlProp" Target="../ctrlProps/ctrlProp271.xml"/><Relationship Id="rId9" Type="http://schemas.openxmlformats.org/officeDocument/2006/relationships/ctrlProp" Target="../ctrlProps/ctrlProp276.xml"/><Relationship Id="rId14" Type="http://schemas.openxmlformats.org/officeDocument/2006/relationships/ctrlProp" Target="../ctrlProps/ctrlProp281.xml"/><Relationship Id="rId22" Type="http://schemas.openxmlformats.org/officeDocument/2006/relationships/ctrlProp" Target="../ctrlProps/ctrlProp289.xml"/><Relationship Id="rId27" Type="http://schemas.openxmlformats.org/officeDocument/2006/relationships/ctrlProp" Target="../ctrlProps/ctrlProp294.xml"/><Relationship Id="rId30" Type="http://schemas.openxmlformats.org/officeDocument/2006/relationships/ctrlProp" Target="../ctrlProps/ctrlProp297.xml"/><Relationship Id="rId35" Type="http://schemas.openxmlformats.org/officeDocument/2006/relationships/ctrlProp" Target="../ctrlProps/ctrlProp302.xml"/><Relationship Id="rId8" Type="http://schemas.openxmlformats.org/officeDocument/2006/relationships/ctrlProp" Target="../ctrlProps/ctrlProp275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25.xml"/><Relationship Id="rId21" Type="http://schemas.openxmlformats.org/officeDocument/2006/relationships/ctrlProp" Target="../ctrlProps/ctrlProp320.xml"/><Relationship Id="rId42" Type="http://schemas.openxmlformats.org/officeDocument/2006/relationships/ctrlProp" Target="../ctrlProps/ctrlProp341.xml"/><Relationship Id="rId47" Type="http://schemas.openxmlformats.org/officeDocument/2006/relationships/ctrlProp" Target="../ctrlProps/ctrlProp346.xml"/><Relationship Id="rId63" Type="http://schemas.openxmlformats.org/officeDocument/2006/relationships/ctrlProp" Target="../ctrlProps/ctrlProp362.xml"/><Relationship Id="rId68" Type="http://schemas.openxmlformats.org/officeDocument/2006/relationships/ctrlProp" Target="../ctrlProps/ctrlProp367.xml"/><Relationship Id="rId84" Type="http://schemas.openxmlformats.org/officeDocument/2006/relationships/ctrlProp" Target="../ctrlProps/ctrlProp383.xml"/><Relationship Id="rId89" Type="http://schemas.openxmlformats.org/officeDocument/2006/relationships/ctrlProp" Target="../ctrlProps/ctrlProp388.xml"/><Relationship Id="rId16" Type="http://schemas.openxmlformats.org/officeDocument/2006/relationships/ctrlProp" Target="../ctrlProps/ctrlProp315.xml"/><Relationship Id="rId11" Type="http://schemas.openxmlformats.org/officeDocument/2006/relationships/ctrlProp" Target="../ctrlProps/ctrlProp310.xml"/><Relationship Id="rId32" Type="http://schemas.openxmlformats.org/officeDocument/2006/relationships/ctrlProp" Target="../ctrlProps/ctrlProp331.xml"/><Relationship Id="rId37" Type="http://schemas.openxmlformats.org/officeDocument/2006/relationships/ctrlProp" Target="../ctrlProps/ctrlProp336.xml"/><Relationship Id="rId53" Type="http://schemas.openxmlformats.org/officeDocument/2006/relationships/ctrlProp" Target="../ctrlProps/ctrlProp352.xml"/><Relationship Id="rId58" Type="http://schemas.openxmlformats.org/officeDocument/2006/relationships/ctrlProp" Target="../ctrlProps/ctrlProp357.xml"/><Relationship Id="rId74" Type="http://schemas.openxmlformats.org/officeDocument/2006/relationships/ctrlProp" Target="../ctrlProps/ctrlProp373.xml"/><Relationship Id="rId79" Type="http://schemas.openxmlformats.org/officeDocument/2006/relationships/ctrlProp" Target="../ctrlProps/ctrlProp378.xml"/><Relationship Id="rId5" Type="http://schemas.openxmlformats.org/officeDocument/2006/relationships/ctrlProp" Target="../ctrlProps/ctrlProp304.xml"/><Relationship Id="rId90" Type="http://schemas.openxmlformats.org/officeDocument/2006/relationships/ctrlProp" Target="../ctrlProps/ctrlProp389.xml"/><Relationship Id="rId95" Type="http://schemas.openxmlformats.org/officeDocument/2006/relationships/ctrlProp" Target="../ctrlProps/ctrlProp394.xml"/><Relationship Id="rId22" Type="http://schemas.openxmlformats.org/officeDocument/2006/relationships/ctrlProp" Target="../ctrlProps/ctrlProp321.xml"/><Relationship Id="rId27" Type="http://schemas.openxmlformats.org/officeDocument/2006/relationships/ctrlProp" Target="../ctrlProps/ctrlProp326.xml"/><Relationship Id="rId43" Type="http://schemas.openxmlformats.org/officeDocument/2006/relationships/ctrlProp" Target="../ctrlProps/ctrlProp342.xml"/><Relationship Id="rId48" Type="http://schemas.openxmlformats.org/officeDocument/2006/relationships/ctrlProp" Target="../ctrlProps/ctrlProp347.xml"/><Relationship Id="rId64" Type="http://schemas.openxmlformats.org/officeDocument/2006/relationships/ctrlProp" Target="../ctrlProps/ctrlProp363.xml"/><Relationship Id="rId69" Type="http://schemas.openxmlformats.org/officeDocument/2006/relationships/ctrlProp" Target="../ctrlProps/ctrlProp368.xml"/><Relationship Id="rId80" Type="http://schemas.openxmlformats.org/officeDocument/2006/relationships/ctrlProp" Target="../ctrlProps/ctrlProp379.xml"/><Relationship Id="rId85" Type="http://schemas.openxmlformats.org/officeDocument/2006/relationships/ctrlProp" Target="../ctrlProps/ctrlProp384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311.xml"/><Relationship Id="rId17" Type="http://schemas.openxmlformats.org/officeDocument/2006/relationships/ctrlProp" Target="../ctrlProps/ctrlProp316.xml"/><Relationship Id="rId25" Type="http://schemas.openxmlformats.org/officeDocument/2006/relationships/ctrlProp" Target="../ctrlProps/ctrlProp324.xml"/><Relationship Id="rId33" Type="http://schemas.openxmlformats.org/officeDocument/2006/relationships/ctrlProp" Target="../ctrlProps/ctrlProp332.xml"/><Relationship Id="rId38" Type="http://schemas.openxmlformats.org/officeDocument/2006/relationships/ctrlProp" Target="../ctrlProps/ctrlProp337.xml"/><Relationship Id="rId46" Type="http://schemas.openxmlformats.org/officeDocument/2006/relationships/ctrlProp" Target="../ctrlProps/ctrlProp345.xml"/><Relationship Id="rId59" Type="http://schemas.openxmlformats.org/officeDocument/2006/relationships/ctrlProp" Target="../ctrlProps/ctrlProp358.xml"/><Relationship Id="rId67" Type="http://schemas.openxmlformats.org/officeDocument/2006/relationships/ctrlProp" Target="../ctrlProps/ctrlProp366.xml"/><Relationship Id="rId20" Type="http://schemas.openxmlformats.org/officeDocument/2006/relationships/ctrlProp" Target="../ctrlProps/ctrlProp319.xml"/><Relationship Id="rId41" Type="http://schemas.openxmlformats.org/officeDocument/2006/relationships/ctrlProp" Target="../ctrlProps/ctrlProp340.xml"/><Relationship Id="rId54" Type="http://schemas.openxmlformats.org/officeDocument/2006/relationships/ctrlProp" Target="../ctrlProps/ctrlProp353.xml"/><Relationship Id="rId62" Type="http://schemas.openxmlformats.org/officeDocument/2006/relationships/ctrlProp" Target="../ctrlProps/ctrlProp361.xml"/><Relationship Id="rId70" Type="http://schemas.openxmlformats.org/officeDocument/2006/relationships/ctrlProp" Target="../ctrlProps/ctrlProp369.xml"/><Relationship Id="rId75" Type="http://schemas.openxmlformats.org/officeDocument/2006/relationships/ctrlProp" Target="../ctrlProps/ctrlProp374.xml"/><Relationship Id="rId83" Type="http://schemas.openxmlformats.org/officeDocument/2006/relationships/ctrlProp" Target="../ctrlProps/ctrlProp382.xml"/><Relationship Id="rId88" Type="http://schemas.openxmlformats.org/officeDocument/2006/relationships/ctrlProp" Target="../ctrlProps/ctrlProp387.xml"/><Relationship Id="rId91" Type="http://schemas.openxmlformats.org/officeDocument/2006/relationships/ctrlProp" Target="../ctrlProps/ctrlProp390.xml"/><Relationship Id="rId96" Type="http://schemas.openxmlformats.org/officeDocument/2006/relationships/ctrlProp" Target="../ctrlProps/ctrlProp395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05.xml"/><Relationship Id="rId15" Type="http://schemas.openxmlformats.org/officeDocument/2006/relationships/ctrlProp" Target="../ctrlProps/ctrlProp314.xml"/><Relationship Id="rId23" Type="http://schemas.openxmlformats.org/officeDocument/2006/relationships/ctrlProp" Target="../ctrlProps/ctrlProp322.xml"/><Relationship Id="rId28" Type="http://schemas.openxmlformats.org/officeDocument/2006/relationships/ctrlProp" Target="../ctrlProps/ctrlProp327.xml"/><Relationship Id="rId36" Type="http://schemas.openxmlformats.org/officeDocument/2006/relationships/ctrlProp" Target="../ctrlProps/ctrlProp335.xml"/><Relationship Id="rId49" Type="http://schemas.openxmlformats.org/officeDocument/2006/relationships/ctrlProp" Target="../ctrlProps/ctrlProp348.xml"/><Relationship Id="rId57" Type="http://schemas.openxmlformats.org/officeDocument/2006/relationships/ctrlProp" Target="../ctrlProps/ctrlProp356.xml"/><Relationship Id="rId10" Type="http://schemas.openxmlformats.org/officeDocument/2006/relationships/ctrlProp" Target="../ctrlProps/ctrlProp309.xml"/><Relationship Id="rId31" Type="http://schemas.openxmlformats.org/officeDocument/2006/relationships/ctrlProp" Target="../ctrlProps/ctrlProp330.xml"/><Relationship Id="rId44" Type="http://schemas.openxmlformats.org/officeDocument/2006/relationships/ctrlProp" Target="../ctrlProps/ctrlProp343.xml"/><Relationship Id="rId52" Type="http://schemas.openxmlformats.org/officeDocument/2006/relationships/ctrlProp" Target="../ctrlProps/ctrlProp351.xml"/><Relationship Id="rId60" Type="http://schemas.openxmlformats.org/officeDocument/2006/relationships/ctrlProp" Target="../ctrlProps/ctrlProp359.xml"/><Relationship Id="rId65" Type="http://schemas.openxmlformats.org/officeDocument/2006/relationships/ctrlProp" Target="../ctrlProps/ctrlProp364.xml"/><Relationship Id="rId73" Type="http://schemas.openxmlformats.org/officeDocument/2006/relationships/ctrlProp" Target="../ctrlProps/ctrlProp372.xml"/><Relationship Id="rId78" Type="http://schemas.openxmlformats.org/officeDocument/2006/relationships/ctrlProp" Target="../ctrlProps/ctrlProp377.xml"/><Relationship Id="rId81" Type="http://schemas.openxmlformats.org/officeDocument/2006/relationships/ctrlProp" Target="../ctrlProps/ctrlProp380.xml"/><Relationship Id="rId86" Type="http://schemas.openxmlformats.org/officeDocument/2006/relationships/ctrlProp" Target="../ctrlProps/ctrlProp385.xml"/><Relationship Id="rId94" Type="http://schemas.openxmlformats.org/officeDocument/2006/relationships/ctrlProp" Target="../ctrlProps/ctrlProp393.xml"/><Relationship Id="rId99" Type="http://schemas.openxmlformats.org/officeDocument/2006/relationships/ctrlProp" Target="../ctrlProps/ctrlProp398.xml"/><Relationship Id="rId4" Type="http://schemas.openxmlformats.org/officeDocument/2006/relationships/ctrlProp" Target="../ctrlProps/ctrlProp303.xml"/><Relationship Id="rId9" Type="http://schemas.openxmlformats.org/officeDocument/2006/relationships/ctrlProp" Target="../ctrlProps/ctrlProp308.xml"/><Relationship Id="rId13" Type="http://schemas.openxmlformats.org/officeDocument/2006/relationships/ctrlProp" Target="../ctrlProps/ctrlProp312.xml"/><Relationship Id="rId18" Type="http://schemas.openxmlformats.org/officeDocument/2006/relationships/ctrlProp" Target="../ctrlProps/ctrlProp317.xml"/><Relationship Id="rId39" Type="http://schemas.openxmlformats.org/officeDocument/2006/relationships/ctrlProp" Target="../ctrlProps/ctrlProp338.xml"/><Relationship Id="rId34" Type="http://schemas.openxmlformats.org/officeDocument/2006/relationships/ctrlProp" Target="../ctrlProps/ctrlProp333.xml"/><Relationship Id="rId50" Type="http://schemas.openxmlformats.org/officeDocument/2006/relationships/ctrlProp" Target="../ctrlProps/ctrlProp349.xml"/><Relationship Id="rId55" Type="http://schemas.openxmlformats.org/officeDocument/2006/relationships/ctrlProp" Target="../ctrlProps/ctrlProp354.xml"/><Relationship Id="rId76" Type="http://schemas.openxmlformats.org/officeDocument/2006/relationships/ctrlProp" Target="../ctrlProps/ctrlProp375.xml"/><Relationship Id="rId97" Type="http://schemas.openxmlformats.org/officeDocument/2006/relationships/ctrlProp" Target="../ctrlProps/ctrlProp396.xml"/><Relationship Id="rId7" Type="http://schemas.openxmlformats.org/officeDocument/2006/relationships/ctrlProp" Target="../ctrlProps/ctrlProp306.xml"/><Relationship Id="rId71" Type="http://schemas.openxmlformats.org/officeDocument/2006/relationships/ctrlProp" Target="../ctrlProps/ctrlProp370.xml"/><Relationship Id="rId92" Type="http://schemas.openxmlformats.org/officeDocument/2006/relationships/ctrlProp" Target="../ctrlProps/ctrlProp391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328.xml"/><Relationship Id="rId24" Type="http://schemas.openxmlformats.org/officeDocument/2006/relationships/ctrlProp" Target="../ctrlProps/ctrlProp323.xml"/><Relationship Id="rId40" Type="http://schemas.openxmlformats.org/officeDocument/2006/relationships/ctrlProp" Target="../ctrlProps/ctrlProp339.xml"/><Relationship Id="rId45" Type="http://schemas.openxmlformats.org/officeDocument/2006/relationships/ctrlProp" Target="../ctrlProps/ctrlProp344.xml"/><Relationship Id="rId66" Type="http://schemas.openxmlformats.org/officeDocument/2006/relationships/ctrlProp" Target="../ctrlProps/ctrlProp365.xml"/><Relationship Id="rId87" Type="http://schemas.openxmlformats.org/officeDocument/2006/relationships/ctrlProp" Target="../ctrlProps/ctrlProp386.xml"/><Relationship Id="rId61" Type="http://schemas.openxmlformats.org/officeDocument/2006/relationships/ctrlProp" Target="../ctrlProps/ctrlProp360.xml"/><Relationship Id="rId82" Type="http://schemas.openxmlformats.org/officeDocument/2006/relationships/ctrlProp" Target="../ctrlProps/ctrlProp381.xml"/><Relationship Id="rId19" Type="http://schemas.openxmlformats.org/officeDocument/2006/relationships/ctrlProp" Target="../ctrlProps/ctrlProp318.xml"/><Relationship Id="rId14" Type="http://schemas.openxmlformats.org/officeDocument/2006/relationships/ctrlProp" Target="../ctrlProps/ctrlProp313.xml"/><Relationship Id="rId30" Type="http://schemas.openxmlformats.org/officeDocument/2006/relationships/ctrlProp" Target="../ctrlProps/ctrlProp329.xml"/><Relationship Id="rId35" Type="http://schemas.openxmlformats.org/officeDocument/2006/relationships/ctrlProp" Target="../ctrlProps/ctrlProp334.xml"/><Relationship Id="rId56" Type="http://schemas.openxmlformats.org/officeDocument/2006/relationships/ctrlProp" Target="../ctrlProps/ctrlProp355.xml"/><Relationship Id="rId77" Type="http://schemas.openxmlformats.org/officeDocument/2006/relationships/ctrlProp" Target="../ctrlProps/ctrlProp376.xml"/><Relationship Id="rId8" Type="http://schemas.openxmlformats.org/officeDocument/2006/relationships/ctrlProp" Target="../ctrlProps/ctrlProp307.xml"/><Relationship Id="rId51" Type="http://schemas.openxmlformats.org/officeDocument/2006/relationships/ctrlProp" Target="../ctrlProps/ctrlProp350.xml"/><Relationship Id="rId72" Type="http://schemas.openxmlformats.org/officeDocument/2006/relationships/ctrlProp" Target="../ctrlProps/ctrlProp371.xml"/><Relationship Id="rId93" Type="http://schemas.openxmlformats.org/officeDocument/2006/relationships/ctrlProp" Target="../ctrlProps/ctrlProp392.xml"/><Relationship Id="rId98" Type="http://schemas.openxmlformats.org/officeDocument/2006/relationships/ctrlProp" Target="../ctrlProps/ctrlProp39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H57"/>
  <sheetViews>
    <sheetView showGridLines="0" showRowColHeaders="0" zoomScaleNormal="100" workbookViewId="0">
      <selection activeCell="B20" sqref="B20:G21"/>
    </sheetView>
  </sheetViews>
  <sheetFormatPr baseColWidth="10" defaultColWidth="0" defaultRowHeight="15" zeroHeight="1" x14ac:dyDescent="0.25"/>
  <cols>
    <col min="1" max="8" width="11.5703125" customWidth="1"/>
    <col min="9" max="16384" width="11.5703125" hidden="1"/>
  </cols>
  <sheetData>
    <row r="1" spans="1:7" x14ac:dyDescent="0.25">
      <c r="A1" s="4"/>
      <c r="B1" s="4"/>
      <c r="C1" s="4"/>
      <c r="D1" s="4"/>
      <c r="E1" s="4"/>
      <c r="F1" s="4"/>
      <c r="G1" s="4"/>
    </row>
    <row r="2" spans="1:7" x14ac:dyDescent="0.25">
      <c r="A2" s="4"/>
      <c r="B2" s="4"/>
      <c r="C2" s="4"/>
      <c r="D2" s="4"/>
      <c r="E2" s="4"/>
      <c r="F2" s="4"/>
      <c r="G2" s="4"/>
    </row>
    <row r="3" spans="1:7" x14ac:dyDescent="0.25">
      <c r="A3" s="4"/>
      <c r="B3" s="156"/>
      <c r="C3" s="157"/>
      <c r="D3" s="157"/>
      <c r="E3" s="157"/>
      <c r="F3" s="157"/>
      <c r="G3" s="157"/>
    </row>
    <row r="4" spans="1:7" x14ac:dyDescent="0.25">
      <c r="A4" s="4"/>
      <c r="B4" s="157"/>
      <c r="C4" s="157"/>
      <c r="D4" s="157"/>
      <c r="E4" s="157"/>
      <c r="F4" s="157"/>
      <c r="G4" s="157"/>
    </row>
    <row r="5" spans="1:7" x14ac:dyDescent="0.25">
      <c r="A5" s="4"/>
      <c r="B5" s="157"/>
      <c r="C5" s="157"/>
      <c r="D5" s="157"/>
      <c r="E5" s="157"/>
      <c r="F5" s="157"/>
      <c r="G5" s="157"/>
    </row>
    <row r="6" spans="1:7" x14ac:dyDescent="0.25">
      <c r="A6" s="4"/>
      <c r="B6" s="4"/>
      <c r="C6" s="4"/>
      <c r="D6" s="158"/>
      <c r="E6" s="159"/>
      <c r="F6" s="4"/>
      <c r="G6" s="4"/>
    </row>
    <row r="7" spans="1:7" x14ac:dyDescent="0.25">
      <c r="A7" s="4"/>
      <c r="B7" s="4"/>
      <c r="C7" s="4"/>
      <c r="D7" s="4"/>
      <c r="E7" s="4"/>
      <c r="F7" s="4"/>
      <c r="G7" s="4"/>
    </row>
    <row r="8" spans="1:7" x14ac:dyDescent="0.25">
      <c r="A8" s="4"/>
      <c r="B8" s="4"/>
      <c r="C8" s="4"/>
      <c r="D8" s="4"/>
      <c r="E8" s="4"/>
      <c r="F8" s="4"/>
      <c r="G8" s="4"/>
    </row>
    <row r="9" spans="1:7" x14ac:dyDescent="0.25">
      <c r="A9" s="4"/>
      <c r="B9" s="4"/>
      <c r="C9" s="4"/>
      <c r="D9" s="4"/>
      <c r="E9" s="4"/>
      <c r="F9" s="4"/>
      <c r="G9" s="4"/>
    </row>
    <row r="10" spans="1:7" x14ac:dyDescent="0.25">
      <c r="A10" s="4"/>
      <c r="B10" s="4"/>
      <c r="C10" s="4"/>
      <c r="D10" s="4"/>
      <c r="E10" s="4"/>
      <c r="F10" s="4"/>
      <c r="G10" s="4"/>
    </row>
    <row r="11" spans="1:7" x14ac:dyDescent="0.25">
      <c r="A11" s="4"/>
      <c r="B11" s="4"/>
      <c r="C11" s="4"/>
      <c r="D11" s="4"/>
      <c r="E11" s="4"/>
      <c r="F11" s="4"/>
      <c r="G11" s="4"/>
    </row>
    <row r="12" spans="1:7" x14ac:dyDescent="0.25">
      <c r="A12" s="4"/>
      <c r="B12" s="4"/>
      <c r="C12" s="4"/>
      <c r="D12" s="4"/>
      <c r="E12" s="4"/>
      <c r="F12" s="4"/>
      <c r="G12" s="4"/>
    </row>
    <row r="13" spans="1:7" x14ac:dyDescent="0.25">
      <c r="A13" s="4"/>
      <c r="B13" s="4"/>
      <c r="C13" s="4"/>
      <c r="D13" s="4"/>
      <c r="E13" s="4"/>
      <c r="F13" s="4"/>
      <c r="G13" s="4"/>
    </row>
    <row r="14" spans="1:7" x14ac:dyDescent="0.25">
      <c r="A14" s="4"/>
      <c r="B14" s="4"/>
      <c r="C14" s="4"/>
      <c r="D14" s="4"/>
      <c r="E14" s="4"/>
      <c r="F14" s="4"/>
      <c r="G14" s="4"/>
    </row>
    <row r="15" spans="1:7" x14ac:dyDescent="0.25">
      <c r="A15" s="4"/>
      <c r="B15" s="4"/>
      <c r="C15" s="4"/>
      <c r="D15" s="4"/>
      <c r="E15" s="4"/>
      <c r="F15" s="4"/>
      <c r="G15" s="4"/>
    </row>
    <row r="16" spans="1:7" x14ac:dyDescent="0.25">
      <c r="A16" s="4"/>
      <c r="B16" s="4"/>
      <c r="C16" s="4"/>
      <c r="D16" s="4"/>
      <c r="E16" s="4"/>
      <c r="F16" s="4"/>
      <c r="G16" s="4"/>
    </row>
    <row r="17" spans="1:7" x14ac:dyDescent="0.25">
      <c r="A17" s="4"/>
      <c r="B17" s="4"/>
      <c r="C17" s="4"/>
      <c r="D17" s="4"/>
      <c r="E17" s="4"/>
      <c r="F17" s="4"/>
      <c r="G17" s="4"/>
    </row>
    <row r="18" spans="1:7" x14ac:dyDescent="0.25">
      <c r="A18" s="4"/>
      <c r="B18" s="4"/>
      <c r="C18" s="4"/>
      <c r="D18" s="159"/>
      <c r="E18" s="159"/>
      <c r="F18" s="4"/>
      <c r="G18" s="4"/>
    </row>
    <row r="19" spans="1:7" hidden="1" x14ac:dyDescent="0.25">
      <c r="A19" s="4"/>
      <c r="B19" s="4"/>
      <c r="C19" s="4"/>
      <c r="D19" s="4"/>
      <c r="E19" s="4"/>
      <c r="F19" s="4"/>
      <c r="G19" s="4"/>
    </row>
    <row r="20" spans="1:7" x14ac:dyDescent="0.25">
      <c r="B20" s="160"/>
      <c r="C20" s="160"/>
      <c r="D20" s="160"/>
      <c r="E20" s="160"/>
      <c r="F20" s="160"/>
      <c r="G20" s="160"/>
    </row>
    <row r="21" spans="1:7" x14ac:dyDescent="0.25">
      <c r="B21" s="160"/>
      <c r="C21" s="160"/>
      <c r="D21" s="160"/>
      <c r="E21" s="160"/>
      <c r="F21" s="160"/>
      <c r="G21" s="160"/>
    </row>
    <row r="33" customFormat="1" hidden="1" x14ac:dyDescent="0.25"/>
    <row r="34" customFormat="1" hidden="1" x14ac:dyDescent="0.25"/>
    <row r="35" customFormat="1" hidden="1" x14ac:dyDescent="0.25"/>
    <row r="36" customFormat="1" hidden="1" x14ac:dyDescent="0.25"/>
    <row r="37" customFormat="1" hidden="1" x14ac:dyDescent="0.25"/>
    <row r="38" customFormat="1" hidden="1" x14ac:dyDescent="0.25"/>
    <row r="39" customFormat="1" hidden="1" x14ac:dyDescent="0.25"/>
    <row r="40" customFormat="1" hidden="1" x14ac:dyDescent="0.25"/>
    <row r="41" customFormat="1" hidden="1" x14ac:dyDescent="0.25"/>
    <row r="42" customFormat="1" hidden="1" x14ac:dyDescent="0.25"/>
    <row r="43" customFormat="1" hidden="1" x14ac:dyDescent="0.25"/>
    <row r="44" customFormat="1" hidden="1" x14ac:dyDescent="0.25"/>
    <row r="45" customFormat="1" hidden="1" x14ac:dyDescent="0.25"/>
    <row r="46" customFormat="1" hidden="1" x14ac:dyDescent="0.25"/>
    <row r="47" customFormat="1" hidden="1" x14ac:dyDescent="0.25"/>
    <row r="48" customFormat="1" hidden="1" x14ac:dyDescent="0.25"/>
    <row r="49" customFormat="1" hidden="1" x14ac:dyDescent="0.25"/>
    <row r="50" customFormat="1" hidden="1" x14ac:dyDescent="0.25"/>
    <row r="51" customFormat="1" hidden="1" x14ac:dyDescent="0.25"/>
    <row r="52" customFormat="1" hidden="1" x14ac:dyDescent="0.25"/>
    <row r="53" customFormat="1" hidden="1" x14ac:dyDescent="0.25"/>
    <row r="54" customFormat="1" hidden="1" x14ac:dyDescent="0.25"/>
    <row r="55" customFormat="1" hidden="1" x14ac:dyDescent="0.25"/>
    <row r="56" customFormat="1" hidden="1" x14ac:dyDescent="0.25"/>
    <row r="57" customFormat="1" hidden="1" x14ac:dyDescent="0.25"/>
  </sheetData>
  <sheetProtection algorithmName="SHA-512" hashValue="N8gbyJBFJfG2I+Ys8xfxJ85HOB/nAji5IzcM80XwA2k9uw5tUJm0iUSYJm7cTFzwylj3+OPJNbBZCmKgVwhk9Q==" saltValue="h2+WnERihGpW+2QNUDtkFA==" spinCount="100000" sheet="1" objects="1" scenarios="1" selectLockedCells="1" selectUnlockedCells="1"/>
  <mergeCells count="4">
    <mergeCell ref="B3:G5"/>
    <mergeCell ref="D6:E6"/>
    <mergeCell ref="B20:G21"/>
    <mergeCell ref="D18:E1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K62"/>
  <sheetViews>
    <sheetView showGridLines="0" showRowColHeaders="0" zoomScaleNormal="100" workbookViewId="0">
      <selection activeCell="C7" sqref="C7"/>
    </sheetView>
  </sheetViews>
  <sheetFormatPr baseColWidth="10" defaultColWidth="0" defaultRowHeight="15" zeroHeight="1" x14ac:dyDescent="0.25"/>
  <cols>
    <col min="1" max="1" width="20.7109375" customWidth="1"/>
    <col min="2" max="2" width="37.7109375" customWidth="1"/>
    <col min="3" max="3" width="20" customWidth="1"/>
    <col min="4" max="5" width="8.85546875" customWidth="1"/>
    <col min="6" max="9" width="8.85546875" hidden="1" customWidth="1"/>
    <col min="10" max="11" width="10.5703125" hidden="1" customWidth="1"/>
    <col min="12" max="16384" width="8.85546875" hidden="1"/>
  </cols>
  <sheetData>
    <row r="1" spans="1:10" x14ac:dyDescent="0.25">
      <c r="A1" s="4"/>
      <c r="B1" s="4"/>
      <c r="C1" s="4"/>
      <c r="D1" s="4"/>
      <c r="E1" s="4"/>
    </row>
    <row r="2" spans="1:10" x14ac:dyDescent="0.25">
      <c r="A2" s="4"/>
      <c r="B2" s="56"/>
      <c r="C2" s="4"/>
      <c r="D2" s="4"/>
      <c r="E2" s="4"/>
      <c r="H2" s="57"/>
    </row>
    <row r="3" spans="1:10" x14ac:dyDescent="0.25">
      <c r="A3" s="4"/>
      <c r="B3" s="162" t="s">
        <v>26</v>
      </c>
      <c r="C3" s="163"/>
      <c r="D3" s="4"/>
      <c r="E3" s="4"/>
    </row>
    <row r="4" spans="1:10" x14ac:dyDescent="0.25">
      <c r="A4" s="4"/>
      <c r="B4" s="77" t="s">
        <v>407</v>
      </c>
      <c r="C4" s="81"/>
      <c r="D4" s="4"/>
      <c r="E4" s="4"/>
      <c r="H4" s="57"/>
    </row>
    <row r="5" spans="1:10" x14ac:dyDescent="0.25">
      <c r="A5" s="4"/>
      <c r="B5" s="77" t="s">
        <v>0</v>
      </c>
      <c r="C5" s="82"/>
      <c r="D5" s="4"/>
      <c r="E5" s="4"/>
    </row>
    <row r="6" spans="1:10" ht="19.149999999999999" customHeight="1" x14ac:dyDescent="0.25">
      <c r="A6" s="4"/>
      <c r="B6" s="77" t="s">
        <v>1</v>
      </c>
      <c r="C6" s="83"/>
      <c r="D6" s="4"/>
      <c r="E6" s="4"/>
    </row>
    <row r="7" spans="1:10" ht="19.899999999999999" customHeight="1" x14ac:dyDescent="0.25">
      <c r="A7" s="4"/>
      <c r="B7" s="84" t="s">
        <v>408</v>
      </c>
      <c r="C7" s="81"/>
      <c r="D7" s="4"/>
      <c r="E7" s="4"/>
      <c r="J7" s="58"/>
    </row>
    <row r="8" spans="1:10" ht="22.15" customHeight="1" x14ac:dyDescent="0.25">
      <c r="A8" s="4"/>
      <c r="D8" s="4"/>
      <c r="E8" s="4"/>
    </row>
    <row r="9" spans="1:10" ht="18" customHeight="1" x14ac:dyDescent="0.25">
      <c r="A9" s="4"/>
      <c r="D9" s="4"/>
      <c r="E9" s="4"/>
    </row>
    <row r="10" spans="1:10" ht="18" customHeight="1" x14ac:dyDescent="0.25">
      <c r="A10" s="4"/>
      <c r="B10" s="3"/>
      <c r="C10" s="59"/>
      <c r="D10" s="4"/>
      <c r="E10" s="4"/>
    </row>
    <row r="11" spans="1:10" ht="18" customHeight="1" x14ac:dyDescent="0.25">
      <c r="A11" s="4"/>
      <c r="B11" s="3"/>
      <c r="C11" s="59"/>
      <c r="D11" s="4"/>
      <c r="E11" s="4"/>
    </row>
    <row r="12" spans="1:10" ht="18" customHeight="1" x14ac:dyDescent="0.25">
      <c r="A12" s="4"/>
      <c r="B12" s="3"/>
      <c r="C12" s="59"/>
      <c r="D12" s="4"/>
      <c r="E12" s="4"/>
    </row>
    <row r="13" spans="1:10" ht="18" customHeight="1" x14ac:dyDescent="0.25">
      <c r="A13" s="4"/>
      <c r="B13" s="3"/>
      <c r="C13" s="59"/>
      <c r="D13" s="4"/>
      <c r="E13" s="4"/>
    </row>
    <row r="14" spans="1:10" ht="18" customHeight="1" x14ac:dyDescent="0.25">
      <c r="A14" s="4"/>
      <c r="B14" s="3"/>
      <c r="C14" s="59"/>
      <c r="D14" s="4"/>
      <c r="E14" s="4"/>
    </row>
    <row r="15" spans="1:10" ht="18" customHeight="1" x14ac:dyDescent="0.25">
      <c r="A15" s="4"/>
      <c r="B15" s="3"/>
      <c r="C15" s="59"/>
      <c r="D15" s="4"/>
      <c r="E15" s="4"/>
    </row>
    <row r="16" spans="1:10" ht="18" customHeight="1" x14ac:dyDescent="0.25">
      <c r="A16" s="4"/>
      <c r="B16" s="3"/>
      <c r="C16" s="59"/>
      <c r="D16" s="4"/>
      <c r="E16" s="4"/>
    </row>
    <row r="17" spans="1:5" ht="18" customHeight="1" x14ac:dyDescent="0.25"/>
    <row r="18" spans="1:5" hidden="1" x14ac:dyDescent="0.25">
      <c r="A18" s="4"/>
      <c r="B18" s="59"/>
      <c r="C18" s="161"/>
      <c r="D18" s="4"/>
      <c r="E18" s="4"/>
    </row>
    <row r="19" spans="1:5" hidden="1" x14ac:dyDescent="0.25">
      <c r="A19" s="4"/>
      <c r="B19" s="4"/>
      <c r="C19" s="161"/>
      <c r="D19" s="4"/>
      <c r="E19" s="4"/>
    </row>
    <row r="20" spans="1:5" hidden="1" x14ac:dyDescent="0.25">
      <c r="A20" s="4"/>
      <c r="B20" s="4"/>
      <c r="C20" s="4"/>
      <c r="D20" s="4"/>
      <c r="E20" s="4"/>
    </row>
    <row r="21" spans="1:5" hidden="1" x14ac:dyDescent="0.25">
      <c r="A21" s="4"/>
      <c r="B21" s="4"/>
      <c r="C21" s="4"/>
      <c r="D21" s="4"/>
      <c r="E21" s="4"/>
    </row>
    <row r="42" spans="1:1" ht="31.15" hidden="1" customHeight="1" x14ac:dyDescent="0.25">
      <c r="A42" s="60"/>
    </row>
    <row r="49" customFormat="1" hidden="1" x14ac:dyDescent="0.25"/>
    <row r="50" customFormat="1" hidden="1" x14ac:dyDescent="0.25"/>
    <row r="51" customFormat="1" hidden="1" x14ac:dyDescent="0.25"/>
    <row r="52" customFormat="1" hidden="1" x14ac:dyDescent="0.25"/>
    <row r="53" customFormat="1" hidden="1" x14ac:dyDescent="0.25"/>
    <row r="54" customFormat="1" hidden="1" x14ac:dyDescent="0.25"/>
    <row r="55" customFormat="1" hidden="1" x14ac:dyDescent="0.25"/>
    <row r="56" customFormat="1" hidden="1" x14ac:dyDescent="0.25"/>
    <row r="57" customFormat="1" hidden="1" x14ac:dyDescent="0.25"/>
    <row r="58" customFormat="1" hidden="1" x14ac:dyDescent="0.25"/>
    <row r="59" customFormat="1" hidden="1" x14ac:dyDescent="0.25"/>
    <row r="60" customFormat="1" hidden="1" x14ac:dyDescent="0.25"/>
    <row r="61" customFormat="1" hidden="1" x14ac:dyDescent="0.25"/>
    <row r="62" customFormat="1" hidden="1" x14ac:dyDescent="0.25"/>
  </sheetData>
  <sheetProtection algorithmName="SHA-512" hashValue="KRGcHwnpib0Gn9yvyxWJOehDpt7RIMIBlZ9v2f/eVdjuCkM3BwG8FjQthgvDdPavLFjQBSbt7eRuZ4P6TP9aUA==" saltValue="1lqTqFYqHy3Ox8uSUGcY7g==" spinCount="100000" sheet="1" objects="1" scenarios="1" selectLockedCells="1"/>
  <mergeCells count="2">
    <mergeCell ref="C18:C19"/>
    <mergeCell ref="B3:C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XFC24"/>
  <sheetViews>
    <sheetView showGridLines="0" showRowColHeaders="0" zoomScaleNormal="100" workbookViewId="0">
      <selection activeCell="D4" sqref="D4"/>
    </sheetView>
  </sheetViews>
  <sheetFormatPr baseColWidth="10" defaultColWidth="0" defaultRowHeight="15" zeroHeight="1" x14ac:dyDescent="0.25"/>
  <cols>
    <col min="1" max="1" width="20.7109375" customWidth="1"/>
    <col min="2" max="2" width="10.7109375" customWidth="1"/>
    <col min="3" max="3" width="30.7109375" customWidth="1"/>
    <col min="4" max="4" width="40.7109375" customWidth="1"/>
    <col min="5" max="5" width="10.7109375" customWidth="1"/>
    <col min="6" max="8" width="7.5703125" style="19" hidden="1"/>
    <col min="9" max="16383" width="7.5703125" hidden="1"/>
    <col min="16384" max="16384" width="4.7109375" hidden="1"/>
  </cols>
  <sheetData>
    <row r="1" spans="1:10" x14ac:dyDescent="0.25">
      <c r="A1" s="4"/>
      <c r="B1" s="4"/>
      <c r="C1" s="4"/>
      <c r="D1" s="4"/>
      <c r="E1" s="4"/>
    </row>
    <row r="2" spans="1:10" x14ac:dyDescent="0.25">
      <c r="A2" s="4"/>
      <c r="B2" s="61"/>
      <c r="C2" s="62"/>
      <c r="D2" s="4"/>
      <c r="E2" s="4"/>
    </row>
    <row r="3" spans="1:10" ht="15" customHeight="1" x14ac:dyDescent="0.25">
      <c r="A3" s="4"/>
      <c r="B3" s="164" t="s">
        <v>352</v>
      </c>
      <c r="C3" s="165"/>
      <c r="D3" s="166"/>
      <c r="E3" s="4"/>
    </row>
    <row r="4" spans="1:10" x14ac:dyDescent="0.25">
      <c r="A4" s="4"/>
      <c r="B4" s="89">
        <v>1</v>
      </c>
      <c r="C4" s="152" t="s">
        <v>409</v>
      </c>
      <c r="D4" s="76"/>
      <c r="E4" s="4"/>
      <c r="F4" s="20" t="s">
        <v>28</v>
      </c>
      <c r="G4" s="20" t="s">
        <v>8</v>
      </c>
      <c r="H4" s="20" t="s">
        <v>9</v>
      </c>
    </row>
    <row r="5" spans="1:10" ht="34.15" customHeight="1" x14ac:dyDescent="0.25">
      <c r="A5" s="4"/>
      <c r="B5" s="167">
        <v>2</v>
      </c>
      <c r="C5" s="169" t="s">
        <v>55</v>
      </c>
      <c r="D5" s="78"/>
      <c r="E5" s="4"/>
      <c r="F5" s="19" t="s">
        <v>11</v>
      </c>
      <c r="G5" s="19">
        <v>3</v>
      </c>
      <c r="H5" s="21">
        <f>IF(G5=1,0.1,IF(G5=2,0.3,IF(G5=3,1)))</f>
        <v>1</v>
      </c>
    </row>
    <row r="6" spans="1:10" ht="21.6" customHeight="1" x14ac:dyDescent="0.25">
      <c r="A6" s="4"/>
      <c r="B6" s="167"/>
      <c r="C6" s="169"/>
      <c r="D6" s="79"/>
      <c r="E6" s="4"/>
    </row>
    <row r="7" spans="1:10" ht="23.45" customHeight="1" x14ac:dyDescent="0.25">
      <c r="A7" s="4"/>
      <c r="B7" s="167"/>
      <c r="C7" s="169"/>
      <c r="D7" s="79"/>
      <c r="E7" s="4"/>
    </row>
    <row r="8" spans="1:10" ht="18" customHeight="1" x14ac:dyDescent="0.25">
      <c r="A8" s="4"/>
      <c r="B8" s="167">
        <v>3</v>
      </c>
      <c r="C8" s="168" t="s">
        <v>56</v>
      </c>
      <c r="D8" s="78"/>
      <c r="E8" s="4"/>
      <c r="F8" s="22"/>
      <c r="I8" s="13"/>
    </row>
    <row r="9" spans="1:10" ht="30" customHeight="1" x14ac:dyDescent="0.25">
      <c r="A9" s="4"/>
      <c r="B9" s="167"/>
      <c r="C9" s="168"/>
      <c r="D9" s="79"/>
      <c r="E9" s="63"/>
      <c r="F9" s="22" t="s">
        <v>12</v>
      </c>
      <c r="G9" s="49">
        <v>3</v>
      </c>
      <c r="H9" s="50">
        <f>IF(G9=1,0.1,IF(G9=2,0.3,IF(G9=3,1)))</f>
        <v>1</v>
      </c>
    </row>
    <row r="10" spans="1:10" ht="31.15" customHeight="1" x14ac:dyDescent="0.25">
      <c r="A10" s="4"/>
      <c r="B10" s="167"/>
      <c r="C10" s="168"/>
      <c r="D10" s="79"/>
      <c r="E10" s="4"/>
      <c r="F10" s="22"/>
    </row>
    <row r="11" spans="1:10" ht="24" customHeight="1" x14ac:dyDescent="0.25">
      <c r="A11" s="4"/>
      <c r="B11" s="167">
        <v>4</v>
      </c>
      <c r="C11" s="168" t="s">
        <v>57</v>
      </c>
      <c r="D11" s="78"/>
      <c r="E11" s="4"/>
    </row>
    <row r="12" spans="1:10" ht="21" customHeight="1" x14ac:dyDescent="0.25">
      <c r="A12" s="4"/>
      <c r="B12" s="167"/>
      <c r="C12" s="168"/>
      <c r="D12" s="79"/>
      <c r="E12" s="4"/>
      <c r="F12" s="19" t="s">
        <v>59</v>
      </c>
      <c r="G12" s="19">
        <v>3</v>
      </c>
      <c r="H12" s="21">
        <f>IF(G12=1,0.1,IF(G12=2,0.3,IF(G12=3,1)))</f>
        <v>1</v>
      </c>
    </row>
    <row r="13" spans="1:10" ht="34.9" customHeight="1" x14ac:dyDescent="0.25">
      <c r="A13" s="4"/>
      <c r="B13" s="167"/>
      <c r="C13" s="168"/>
      <c r="D13" s="79"/>
      <c r="E13" s="4"/>
    </row>
    <row r="14" spans="1:10" ht="23.45" customHeight="1" thickBot="1" x14ac:dyDescent="0.3">
      <c r="A14" s="4"/>
      <c r="B14" s="167">
        <v>5</v>
      </c>
      <c r="C14" s="168" t="s">
        <v>58</v>
      </c>
      <c r="D14" s="78"/>
      <c r="E14" s="4"/>
    </row>
    <row r="15" spans="1:10" ht="21" customHeight="1" thickBot="1" x14ac:dyDescent="0.3">
      <c r="A15" s="4"/>
      <c r="B15" s="167"/>
      <c r="C15" s="168"/>
      <c r="D15" s="79"/>
      <c r="E15" s="4"/>
      <c r="F15" s="19" t="s">
        <v>60</v>
      </c>
      <c r="G15" s="19">
        <v>3</v>
      </c>
      <c r="H15" s="21">
        <f>IF(G15=1,0.1,IF(G15=2,0.3,IF(G15=3,1)))</f>
        <v>1</v>
      </c>
      <c r="I15" s="46" t="s">
        <v>87</v>
      </c>
      <c r="J15" s="47">
        <f>(H5+H9+H12+H15)/4</f>
        <v>1</v>
      </c>
    </row>
    <row r="16" spans="1:10" ht="30.6" customHeight="1" x14ac:dyDescent="0.25">
      <c r="A16" s="4"/>
      <c r="B16" s="167"/>
      <c r="C16" s="168"/>
      <c r="D16" s="80"/>
      <c r="E16" s="4"/>
    </row>
    <row r="17" spans="1:8" ht="30.6" customHeight="1" x14ac:dyDescent="0.25">
      <c r="A17" s="4"/>
      <c r="B17" s="64"/>
      <c r="C17" s="59"/>
      <c r="D17" s="59"/>
      <c r="E17" s="4"/>
    </row>
    <row r="18" spans="1:8" x14ac:dyDescent="0.25">
      <c r="A18" s="4"/>
      <c r="B18" s="3"/>
      <c r="C18" s="4"/>
      <c r="D18" s="4"/>
      <c r="E18" s="4"/>
      <c r="H18" s="21"/>
    </row>
    <row r="19" spans="1:8" hidden="1" x14ac:dyDescent="0.25">
      <c r="A19" s="4"/>
      <c r="B19" s="4"/>
      <c r="C19" s="4"/>
      <c r="D19" s="4"/>
      <c r="E19" s="4"/>
    </row>
    <row r="20" spans="1:8" hidden="1" x14ac:dyDescent="0.25">
      <c r="A20" s="4"/>
      <c r="B20" s="4"/>
      <c r="C20" s="4"/>
      <c r="D20" s="4"/>
    </row>
    <row r="21" spans="1:8" hidden="1" x14ac:dyDescent="0.25">
      <c r="A21" s="4"/>
      <c r="B21" s="5"/>
      <c r="C21" s="4"/>
      <c r="D21" s="4"/>
    </row>
    <row r="22" spans="1:8" hidden="1" x14ac:dyDescent="0.25">
      <c r="A22" s="4"/>
      <c r="B22" s="5"/>
      <c r="C22" s="4"/>
      <c r="D22" s="4"/>
    </row>
    <row r="23" spans="1:8" hidden="1" x14ac:dyDescent="0.25">
      <c r="A23" s="4"/>
      <c r="B23" s="3"/>
      <c r="C23" s="4"/>
      <c r="D23" s="4"/>
    </row>
    <row r="24" spans="1:8" hidden="1" x14ac:dyDescent="0.25">
      <c r="A24" s="4"/>
      <c r="B24" s="4"/>
      <c r="C24" s="4"/>
      <c r="D24" s="4"/>
    </row>
  </sheetData>
  <sheetProtection algorithmName="SHA-512" hashValue="XOjyH8hC+KjvHn8rVBCcYinIXdwkIVYuH/ivz+LGFo7JlgIwk7quEZvbtVxMw9NVx8LIXgBwXp+jQKlsdPaO4w==" saltValue="YBJCHv41bRRT5f+7kDwdkA==" spinCount="100000" sheet="1" objects="1" scenarios="1" selectLockedCells="1"/>
  <mergeCells count="9">
    <mergeCell ref="B3:D3"/>
    <mergeCell ref="B11:B13"/>
    <mergeCell ref="C11:C13"/>
    <mergeCell ref="B14:B16"/>
    <mergeCell ref="C14:C16"/>
    <mergeCell ref="B5:B7"/>
    <mergeCell ref="C5:C7"/>
    <mergeCell ref="B8:B10"/>
    <mergeCell ref="C8:C10"/>
  </mergeCells>
  <dataValidations disablePrompts="1" count="1">
    <dataValidation type="list" allowBlank="1" showInputMessage="1" showErrorMessage="1" sqref="C20" xr:uid="{00000000-0002-0000-02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4" r:id="rId4" name="B_1">
              <controlPr defaultSize="0" autoFill="0" autoLine="0" autoPict="0">
                <anchor moveWithCells="1">
                  <from>
                    <xdr:col>3</xdr:col>
                    <xdr:colOff>171450</xdr:colOff>
                    <xdr:row>4</xdr:row>
                    <xdr:rowOff>247650</xdr:rowOff>
                  </from>
                  <to>
                    <xdr:col>3</xdr:col>
                    <xdr:colOff>1695450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_2">
              <controlPr defaultSize="0" autoFill="0" autoLine="0" autoPict="0">
                <anchor moveWithCells="1">
                  <from>
                    <xdr:col>3</xdr:col>
                    <xdr:colOff>171450</xdr:colOff>
                    <xdr:row>5</xdr:row>
                    <xdr:rowOff>19050</xdr:rowOff>
                  </from>
                  <to>
                    <xdr:col>3</xdr:col>
                    <xdr:colOff>1695450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6" name="B_3">
              <controlPr defaultSize="0" autoFill="0" autoLine="0" autoPict="0">
                <anchor moveWithCells="1">
                  <from>
                    <xdr:col>3</xdr:col>
                    <xdr:colOff>171450</xdr:colOff>
                    <xdr:row>5</xdr:row>
                    <xdr:rowOff>219075</xdr:rowOff>
                  </from>
                  <to>
                    <xdr:col>3</xdr:col>
                    <xdr:colOff>1695450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7" name="Group Box 5">
              <controlPr defaultSize="0" autoFill="0" autoPict="0">
                <anchor moveWithCells="1">
                  <from>
                    <xdr:col>3</xdr:col>
                    <xdr:colOff>95250</xdr:colOff>
                    <xdr:row>4</xdr:row>
                    <xdr:rowOff>133350</xdr:rowOff>
                  </from>
                  <to>
                    <xdr:col>3</xdr:col>
                    <xdr:colOff>2076450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8" name="B_4">
              <controlPr defaultSize="0" autoFill="0" autoLine="0" autoPict="0">
                <anchor moveWithCells="1">
                  <from>
                    <xdr:col>3</xdr:col>
                    <xdr:colOff>171450</xdr:colOff>
                    <xdr:row>8</xdr:row>
                    <xdr:rowOff>0</xdr:rowOff>
                  </from>
                  <to>
                    <xdr:col>3</xdr:col>
                    <xdr:colOff>1695450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9" name="B_5">
              <controlPr defaultSize="0" autoFill="0" autoLine="0" autoPict="0">
                <anchor moveWithCells="1">
                  <from>
                    <xdr:col>3</xdr:col>
                    <xdr:colOff>171450</xdr:colOff>
                    <xdr:row>8</xdr:row>
                    <xdr:rowOff>209550</xdr:rowOff>
                  </from>
                  <to>
                    <xdr:col>3</xdr:col>
                    <xdr:colOff>1695450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0" name="B_6">
              <controlPr defaultSize="0" autoFill="0" autoLine="0" autoPict="0">
                <anchor moveWithCells="1">
                  <from>
                    <xdr:col>3</xdr:col>
                    <xdr:colOff>171450</xdr:colOff>
                    <xdr:row>9</xdr:row>
                    <xdr:rowOff>19050</xdr:rowOff>
                  </from>
                  <to>
                    <xdr:col>3</xdr:col>
                    <xdr:colOff>1695450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1" name="Group Box 10">
              <controlPr defaultSize="0" autoFill="0" autoPict="0">
                <anchor moveWithCells="1">
                  <from>
                    <xdr:col>3</xdr:col>
                    <xdr:colOff>95250</xdr:colOff>
                    <xdr:row>7</xdr:row>
                    <xdr:rowOff>104775</xdr:rowOff>
                  </from>
                  <to>
                    <xdr:col>3</xdr:col>
                    <xdr:colOff>2076450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2" name="B_7">
              <controlPr defaultSize="0" autoFill="0" autoLine="0" autoPict="0">
                <anchor moveWithCells="1">
                  <from>
                    <xdr:col>3</xdr:col>
                    <xdr:colOff>171450</xdr:colOff>
                    <xdr:row>10</xdr:row>
                    <xdr:rowOff>228600</xdr:rowOff>
                  </from>
                  <to>
                    <xdr:col>3</xdr:col>
                    <xdr:colOff>1695450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3" name="B_8">
              <controlPr defaultSize="0" autoFill="0" autoLine="0" autoPict="0">
                <anchor moveWithCells="1">
                  <from>
                    <xdr:col>3</xdr:col>
                    <xdr:colOff>171450</xdr:colOff>
                    <xdr:row>11</xdr:row>
                    <xdr:rowOff>133350</xdr:rowOff>
                  </from>
                  <to>
                    <xdr:col>3</xdr:col>
                    <xdr:colOff>1695450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4" name="B_9">
              <controlPr defaultSize="0" autoFill="0" autoLine="0" autoPict="0">
                <anchor moveWithCells="1">
                  <from>
                    <xdr:col>3</xdr:col>
                    <xdr:colOff>171450</xdr:colOff>
                    <xdr:row>12</xdr:row>
                    <xdr:rowOff>57150</xdr:rowOff>
                  </from>
                  <to>
                    <xdr:col>3</xdr:col>
                    <xdr:colOff>1695450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5" name="Group Box 15">
              <controlPr defaultSize="0" autoFill="0" autoPict="0">
                <anchor moveWithCells="1">
                  <from>
                    <xdr:col>3</xdr:col>
                    <xdr:colOff>95250</xdr:colOff>
                    <xdr:row>10</xdr:row>
                    <xdr:rowOff>104775</xdr:rowOff>
                  </from>
                  <to>
                    <xdr:col>3</xdr:col>
                    <xdr:colOff>2076450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6" name="B_10">
              <controlPr defaultSize="0" autoFill="0" autoLine="0" autoPict="0">
                <anchor moveWithCells="1">
                  <from>
                    <xdr:col>3</xdr:col>
                    <xdr:colOff>171450</xdr:colOff>
                    <xdr:row>13</xdr:row>
                    <xdr:rowOff>209550</xdr:rowOff>
                  </from>
                  <to>
                    <xdr:col>3</xdr:col>
                    <xdr:colOff>1695450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17" name="B_11">
              <controlPr defaultSize="0" autoFill="0" autoLine="0" autoPict="0">
                <anchor moveWithCells="1">
                  <from>
                    <xdr:col>3</xdr:col>
                    <xdr:colOff>171450</xdr:colOff>
                    <xdr:row>14</xdr:row>
                    <xdr:rowOff>123825</xdr:rowOff>
                  </from>
                  <to>
                    <xdr:col>3</xdr:col>
                    <xdr:colOff>1695450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18" name="B_12">
              <controlPr defaultSize="0" autoFill="0" autoLine="0" autoPict="0">
                <anchor moveWithCells="1">
                  <from>
                    <xdr:col>3</xdr:col>
                    <xdr:colOff>171450</xdr:colOff>
                    <xdr:row>15</xdr:row>
                    <xdr:rowOff>57150</xdr:rowOff>
                  </from>
                  <to>
                    <xdr:col>3</xdr:col>
                    <xdr:colOff>1695450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19" name="Group Box 19">
              <controlPr defaultSize="0" autoFill="0" autoPict="0">
                <anchor moveWithCells="1">
                  <from>
                    <xdr:col>3</xdr:col>
                    <xdr:colOff>95250</xdr:colOff>
                    <xdr:row>13</xdr:row>
                    <xdr:rowOff>95250</xdr:rowOff>
                  </from>
                  <to>
                    <xdr:col>3</xdr:col>
                    <xdr:colOff>2076450</xdr:colOff>
                    <xdr:row>15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/>
  <dimension ref="A1:XFC14"/>
  <sheetViews>
    <sheetView showGridLines="0" showRowColHeaders="0" zoomScaleNormal="100" workbookViewId="0">
      <selection activeCell="D4" sqref="D4"/>
    </sheetView>
  </sheetViews>
  <sheetFormatPr baseColWidth="10" defaultColWidth="0" defaultRowHeight="15" zeroHeight="1" x14ac:dyDescent="0.25"/>
  <cols>
    <col min="1" max="1" width="20.7109375" customWidth="1"/>
    <col min="2" max="2" width="10.7109375" style="8" customWidth="1"/>
    <col min="3" max="3" width="30.7109375" customWidth="1"/>
    <col min="4" max="4" width="40.7109375" customWidth="1"/>
    <col min="5" max="5" width="10.7109375" customWidth="1"/>
    <col min="6" max="6" width="7.28515625" style="13" hidden="1"/>
    <col min="7" max="7" width="6.140625" style="13" hidden="1"/>
    <col min="8" max="8" width="10.28515625" hidden="1"/>
    <col min="9" max="9" width="9.5703125" hidden="1"/>
    <col min="10" max="16382" width="2.85546875" hidden="1"/>
    <col min="16383" max="16383" width="0.5703125" hidden="1"/>
    <col min="16384" max="16384" width="3.7109375" hidden="1"/>
  </cols>
  <sheetData>
    <row r="1" spans="1:9" s="4" customFormat="1" x14ac:dyDescent="0.25">
      <c r="B1" s="85"/>
      <c r="F1" s="23"/>
      <c r="G1" s="23"/>
    </row>
    <row r="2" spans="1:9" x14ac:dyDescent="0.25">
      <c r="A2" s="4"/>
      <c r="B2" s="86"/>
      <c r="D2" s="4"/>
      <c r="E2" s="4"/>
    </row>
    <row r="3" spans="1:9" x14ac:dyDescent="0.25">
      <c r="A3" s="4"/>
      <c r="B3" s="164" t="s">
        <v>354</v>
      </c>
      <c r="C3" s="165"/>
      <c r="D3" s="166"/>
      <c r="E3" s="66"/>
    </row>
    <row r="4" spans="1:9" x14ac:dyDescent="0.25">
      <c r="A4" s="4"/>
      <c r="B4" s="153">
        <v>1</v>
      </c>
      <c r="C4" s="152" t="s">
        <v>410</v>
      </c>
      <c r="D4" s="76"/>
      <c r="E4" s="4"/>
      <c r="F4" s="14" t="s">
        <v>8</v>
      </c>
      <c r="G4" s="14" t="s">
        <v>9</v>
      </c>
    </row>
    <row r="5" spans="1:9" ht="56.45" customHeight="1" x14ac:dyDescent="0.25">
      <c r="A5" s="4"/>
      <c r="B5" s="88">
        <v>2</v>
      </c>
      <c r="C5" s="77" t="s">
        <v>6</v>
      </c>
      <c r="D5" s="77"/>
      <c r="E5" s="4"/>
      <c r="F5" s="24">
        <v>1</v>
      </c>
      <c r="G5" s="24">
        <f>IF(F5=1,1,IF(F5=2,0.3))</f>
        <v>1</v>
      </c>
    </row>
    <row r="6" spans="1:9" ht="63" customHeight="1" thickBot="1" x14ac:dyDescent="0.3">
      <c r="A6" s="4"/>
      <c r="B6" s="89">
        <v>3</v>
      </c>
      <c r="C6" s="77" t="s">
        <v>382</v>
      </c>
      <c r="D6" s="77"/>
      <c r="E6" s="63"/>
      <c r="F6" s="24">
        <v>2</v>
      </c>
      <c r="G6" s="24">
        <f>IF(F6=1,1,IF(F6=2,3))</f>
        <v>3</v>
      </c>
    </row>
    <row r="7" spans="1:9" ht="59.45" customHeight="1" thickBot="1" x14ac:dyDescent="0.3">
      <c r="A7" s="4"/>
      <c r="B7" s="89">
        <v>4</v>
      </c>
      <c r="C7" s="77" t="s">
        <v>7</v>
      </c>
      <c r="D7" s="77"/>
      <c r="E7" s="4"/>
      <c r="F7" s="24">
        <v>1</v>
      </c>
      <c r="G7" s="24">
        <f>IF(F7=1,1,IF(F7=2,0.3))</f>
        <v>1</v>
      </c>
      <c r="H7" s="44" t="s">
        <v>215</v>
      </c>
      <c r="I7" s="45">
        <f>G5*G6*G7</f>
        <v>3</v>
      </c>
    </row>
    <row r="8" spans="1:9" ht="110.45" customHeight="1" thickBot="1" x14ac:dyDescent="0.3">
      <c r="A8" s="4"/>
      <c r="B8" s="90">
        <v>5</v>
      </c>
      <c r="C8" s="77" t="s">
        <v>383</v>
      </c>
      <c r="D8" s="87"/>
      <c r="E8" s="4"/>
      <c r="F8" s="24">
        <v>2</v>
      </c>
      <c r="G8" s="24">
        <f>IF(F8=1,1,IF(F8=2,0.3,IF(3,0.1)))</f>
        <v>0.3</v>
      </c>
      <c r="H8" s="44" t="s">
        <v>216</v>
      </c>
      <c r="I8" s="45">
        <f>G8</f>
        <v>0.3</v>
      </c>
    </row>
    <row r="9" spans="1:9" ht="35.25" customHeight="1" x14ac:dyDescent="0.25">
      <c r="A9" s="4"/>
      <c r="B9" s="67"/>
      <c r="C9" s="59"/>
      <c r="D9" s="4"/>
      <c r="E9" s="4"/>
      <c r="F9" s="24"/>
      <c r="G9" s="24"/>
    </row>
    <row r="10" spans="1:9" x14ac:dyDescent="0.25"/>
    <row r="11" spans="1:9" ht="15" hidden="1" customHeight="1" thickBot="1" x14ac:dyDescent="0.3">
      <c r="G11" s="25"/>
    </row>
    <row r="12" spans="1:9" ht="14.45" hidden="1" customHeight="1" x14ac:dyDescent="0.25">
      <c r="D12" s="7"/>
    </row>
    <row r="13" spans="1:9" ht="14.45" hidden="1" customHeight="1" x14ac:dyDescent="0.25">
      <c r="D13" s="7"/>
    </row>
    <row r="14" spans="1:9" ht="14.45" hidden="1" customHeight="1" x14ac:dyDescent="0.25">
      <c r="D14" s="7"/>
    </row>
  </sheetData>
  <sheetProtection algorithmName="SHA-512" hashValue="PUXD0wOKLlBuUrj4qwzkgk+RubvAEqHWyk/FLtBB2Wt24j3Sgx1jdeThCaupJd0VnTGSjjrFY5s4xpWko4VG9g==" saltValue="xv22ALSOFRlNZSHe7m6tng==" spinCount="100000" sheet="1" objects="1" scenarios="1" selectLockedCells="1"/>
  <mergeCells count="1">
    <mergeCell ref="B3:D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3" r:id="rId4" name="B_1">
              <controlPr defaultSize="0" autoFill="0" autoLine="0" autoPict="0">
                <anchor moveWithCells="1">
                  <from>
                    <xdr:col>3</xdr:col>
                    <xdr:colOff>133350</xdr:colOff>
                    <xdr:row>4</xdr:row>
                    <xdr:rowOff>190500</xdr:rowOff>
                  </from>
                  <to>
                    <xdr:col>3</xdr:col>
                    <xdr:colOff>1133475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5" name="B_2">
              <controlPr defaultSize="0" autoFill="0" autoLine="0" autoPict="0">
                <anchor moveWithCells="1">
                  <from>
                    <xdr:col>3</xdr:col>
                    <xdr:colOff>142875</xdr:colOff>
                    <xdr:row>4</xdr:row>
                    <xdr:rowOff>390525</xdr:rowOff>
                  </from>
                  <to>
                    <xdr:col>3</xdr:col>
                    <xdr:colOff>1143000</xdr:colOff>
                    <xdr:row>4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6" name="Group Box 9">
              <controlPr defaultSize="0" autoFill="0" autoPict="0">
                <anchor moveWithCells="1">
                  <from>
                    <xdr:col>3</xdr:col>
                    <xdr:colOff>66675</xdr:colOff>
                    <xdr:row>4</xdr:row>
                    <xdr:rowOff>57150</xdr:rowOff>
                  </from>
                  <to>
                    <xdr:col>3</xdr:col>
                    <xdr:colOff>1628775</xdr:colOff>
                    <xdr:row>4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_3">
              <controlPr defaultSize="0" autoFill="0" autoLine="0" autoPict="0">
                <anchor moveWithCells="1">
                  <from>
                    <xdr:col>3</xdr:col>
                    <xdr:colOff>133350</xdr:colOff>
                    <xdr:row>5</xdr:row>
                    <xdr:rowOff>247650</xdr:rowOff>
                  </from>
                  <to>
                    <xdr:col>3</xdr:col>
                    <xdr:colOff>1133475</xdr:colOff>
                    <xdr:row>5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_4">
              <controlPr defaultSize="0" autoFill="0" autoLine="0" autoPict="0">
                <anchor moveWithCells="1">
                  <from>
                    <xdr:col>3</xdr:col>
                    <xdr:colOff>142875</xdr:colOff>
                    <xdr:row>5</xdr:row>
                    <xdr:rowOff>447675</xdr:rowOff>
                  </from>
                  <to>
                    <xdr:col>3</xdr:col>
                    <xdr:colOff>1143000</xdr:colOff>
                    <xdr:row>5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9" name="Group Box 13">
              <controlPr defaultSize="0" autoFill="0" autoPict="0">
                <anchor moveWithCells="1">
                  <from>
                    <xdr:col>3</xdr:col>
                    <xdr:colOff>66675</xdr:colOff>
                    <xdr:row>5</xdr:row>
                    <xdr:rowOff>123825</xdr:rowOff>
                  </from>
                  <to>
                    <xdr:col>3</xdr:col>
                    <xdr:colOff>1628775</xdr:colOff>
                    <xdr:row>5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0" name="B_5">
              <controlPr defaultSize="0" autoFill="0" autoLine="0" autoPict="0">
                <anchor moveWithCells="1">
                  <from>
                    <xdr:col>3</xdr:col>
                    <xdr:colOff>133350</xdr:colOff>
                    <xdr:row>6</xdr:row>
                    <xdr:rowOff>209550</xdr:rowOff>
                  </from>
                  <to>
                    <xdr:col>3</xdr:col>
                    <xdr:colOff>1133475</xdr:colOff>
                    <xdr:row>6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1" name="B_6">
              <controlPr defaultSize="0" autoFill="0" autoLine="0" autoPict="0">
                <anchor moveWithCells="1">
                  <from>
                    <xdr:col>3</xdr:col>
                    <xdr:colOff>133350</xdr:colOff>
                    <xdr:row>6</xdr:row>
                    <xdr:rowOff>361950</xdr:rowOff>
                  </from>
                  <to>
                    <xdr:col>3</xdr:col>
                    <xdr:colOff>1133475</xdr:colOff>
                    <xdr:row>6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2" name="Group Box 19">
              <controlPr defaultSize="0" autoFill="0" autoPict="0">
                <anchor moveWithCells="1">
                  <from>
                    <xdr:col>3</xdr:col>
                    <xdr:colOff>66675</xdr:colOff>
                    <xdr:row>6</xdr:row>
                    <xdr:rowOff>76200</xdr:rowOff>
                  </from>
                  <to>
                    <xdr:col>3</xdr:col>
                    <xdr:colOff>1628775</xdr:colOff>
                    <xdr:row>6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3" name="B_7">
              <controlPr defaultSize="0" autoFill="0" autoLine="0" autoPict="0">
                <anchor moveWithCells="1">
                  <from>
                    <xdr:col>3</xdr:col>
                    <xdr:colOff>152400</xdr:colOff>
                    <xdr:row>7</xdr:row>
                    <xdr:rowOff>247650</xdr:rowOff>
                  </from>
                  <to>
                    <xdr:col>3</xdr:col>
                    <xdr:colOff>1381125</xdr:colOff>
                    <xdr:row>7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4" name="B_8">
              <controlPr defaultSize="0" autoFill="0" autoLine="0" autoPict="0">
                <anchor moveWithCells="1">
                  <from>
                    <xdr:col>3</xdr:col>
                    <xdr:colOff>152400</xdr:colOff>
                    <xdr:row>7</xdr:row>
                    <xdr:rowOff>400050</xdr:rowOff>
                  </from>
                  <to>
                    <xdr:col>3</xdr:col>
                    <xdr:colOff>1838325</xdr:colOff>
                    <xdr:row>7</xdr:row>
                    <xdr:rowOff>962025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5" name="B_9">
              <controlPr defaultSize="0" autoFill="0" autoLine="0" autoPict="0">
                <anchor moveWithCells="1">
                  <from>
                    <xdr:col>3</xdr:col>
                    <xdr:colOff>152400</xdr:colOff>
                    <xdr:row>7</xdr:row>
                    <xdr:rowOff>866775</xdr:rowOff>
                  </from>
                  <to>
                    <xdr:col>3</xdr:col>
                    <xdr:colOff>1828800</xdr:colOff>
                    <xdr:row>7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6" name="Group Box 23">
              <controlPr defaultSize="0" autoFill="0" autoPict="0">
                <anchor moveWithCells="1">
                  <from>
                    <xdr:col>3</xdr:col>
                    <xdr:colOff>76200</xdr:colOff>
                    <xdr:row>7</xdr:row>
                    <xdr:rowOff>123825</xdr:rowOff>
                  </from>
                  <to>
                    <xdr:col>3</xdr:col>
                    <xdr:colOff>2076450</xdr:colOff>
                    <xdr:row>7</xdr:row>
                    <xdr:rowOff>1323975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/>
  <dimension ref="A1:XFC62"/>
  <sheetViews>
    <sheetView showGridLines="0" showRowColHeaders="0" zoomScaleNormal="100" workbookViewId="0">
      <selection activeCell="D4" sqref="D4"/>
    </sheetView>
  </sheetViews>
  <sheetFormatPr baseColWidth="10" defaultColWidth="0" defaultRowHeight="15" zeroHeight="1" x14ac:dyDescent="0.25"/>
  <cols>
    <col min="1" max="1" width="20.7109375" customWidth="1"/>
    <col min="2" max="2" width="10.7109375" customWidth="1"/>
    <col min="3" max="3" width="30.7109375" customWidth="1"/>
    <col min="4" max="4" width="40.7109375" customWidth="1"/>
    <col min="5" max="5" width="10.7109375" style="4" customWidth="1"/>
    <col min="6" max="7" width="11.5703125" style="13" hidden="1"/>
    <col min="8" max="16383" width="11.5703125" hidden="1"/>
    <col min="16384" max="16384" width="3.7109375" hidden="1"/>
  </cols>
  <sheetData>
    <row r="1" spans="1:7" x14ac:dyDescent="0.25">
      <c r="A1" s="4"/>
      <c r="B1" s="4"/>
      <c r="D1" s="4"/>
    </row>
    <row r="2" spans="1:7" x14ac:dyDescent="0.25">
      <c r="A2" s="4"/>
      <c r="B2" s="65"/>
      <c r="C2" s="66"/>
      <c r="D2" s="66"/>
    </row>
    <row r="3" spans="1:7" x14ac:dyDescent="0.25">
      <c r="A3" s="4"/>
      <c r="B3" s="162" t="s">
        <v>353</v>
      </c>
      <c r="C3" s="174"/>
      <c r="D3" s="163"/>
    </row>
    <row r="4" spans="1:7" x14ac:dyDescent="0.25">
      <c r="A4" s="4"/>
      <c r="B4" s="90">
        <v>1</v>
      </c>
      <c r="C4" s="152" t="s">
        <v>411</v>
      </c>
      <c r="D4" s="76"/>
      <c r="F4" s="14" t="s">
        <v>8</v>
      </c>
      <c r="G4" s="14" t="s">
        <v>9</v>
      </c>
    </row>
    <row r="5" spans="1:7" ht="24" customHeight="1" x14ac:dyDescent="0.25">
      <c r="A5" s="4"/>
      <c r="B5" s="170">
        <v>2</v>
      </c>
      <c r="C5" s="171" t="s">
        <v>387</v>
      </c>
      <c r="D5" s="91"/>
      <c r="F5" s="26">
        <v>4</v>
      </c>
      <c r="G5" s="24">
        <f>IF(F5=1,0.03,IF(F5=2,0.1,IF(F5=3,0.3,IF(F5=4,1))))</f>
        <v>1</v>
      </c>
    </row>
    <row r="6" spans="1:7" ht="40.15" customHeight="1" x14ac:dyDescent="0.25">
      <c r="A6" s="4"/>
      <c r="B6" s="170"/>
      <c r="C6" s="172"/>
      <c r="D6" s="79"/>
    </row>
    <row r="7" spans="1:7" ht="97.9" customHeight="1" x14ac:dyDescent="0.25">
      <c r="A7" s="4"/>
      <c r="B7" s="170"/>
      <c r="C7" s="172"/>
      <c r="D7" s="92"/>
    </row>
    <row r="8" spans="1:7" ht="85.15" customHeight="1" x14ac:dyDescent="0.25">
      <c r="A8" s="4"/>
      <c r="B8" s="170"/>
      <c r="C8" s="173"/>
      <c r="D8" s="80"/>
    </row>
    <row r="9" spans="1:7" ht="31.5" customHeight="1" x14ac:dyDescent="0.25">
      <c r="A9" s="4"/>
      <c r="B9" s="68"/>
      <c r="C9" s="69"/>
      <c r="D9" s="59"/>
    </row>
    <row r="10" spans="1:7" x14ac:dyDescent="0.25"/>
    <row r="11" spans="1:7" ht="14.45" hidden="1" customHeight="1" x14ac:dyDescent="0.25">
      <c r="A11" t="s">
        <v>185</v>
      </c>
    </row>
    <row r="12" spans="1:7" ht="14.45" hidden="1" customHeight="1" x14ac:dyDescent="0.25">
      <c r="A12" t="s">
        <v>186</v>
      </c>
    </row>
    <row r="13" spans="1:7" ht="14.45" hidden="1" customHeight="1" x14ac:dyDescent="0.25">
      <c r="A13" t="s">
        <v>184</v>
      </c>
      <c r="E13" s="5"/>
    </row>
    <row r="14" spans="1:7" ht="14.45" hidden="1" customHeight="1" x14ac:dyDescent="0.25">
      <c r="A14" t="s">
        <v>187</v>
      </c>
      <c r="E14" s="5"/>
    </row>
    <row r="15" spans="1:7" ht="14.45" hidden="1" customHeight="1" x14ac:dyDescent="0.25">
      <c r="A15" t="s">
        <v>184</v>
      </c>
      <c r="E15" s="5"/>
    </row>
    <row r="16" spans="1:7" ht="14.45" hidden="1" customHeight="1" x14ac:dyDescent="0.25">
      <c r="A16" t="s">
        <v>188</v>
      </c>
      <c r="E16" s="5"/>
    </row>
    <row r="17" spans="1:1" ht="14.45" hidden="1" customHeight="1" x14ac:dyDescent="0.25">
      <c r="A17" t="s">
        <v>184</v>
      </c>
    </row>
    <row r="18" spans="1:1" ht="14.45" hidden="1" customHeight="1" x14ac:dyDescent="0.25">
      <c r="A18" t="s">
        <v>189</v>
      </c>
    </row>
    <row r="19" spans="1:1" ht="14.45" hidden="1" customHeight="1" x14ac:dyDescent="0.25">
      <c r="A19" t="s">
        <v>184</v>
      </c>
    </row>
    <row r="20" spans="1:1" ht="14.45" hidden="1" customHeight="1" x14ac:dyDescent="0.25">
      <c r="A20" t="s">
        <v>190</v>
      </c>
    </row>
    <row r="21" spans="1:1" ht="14.45" hidden="1" customHeight="1" x14ac:dyDescent="0.25">
      <c r="A21" t="s">
        <v>184</v>
      </c>
    </row>
    <row r="22" spans="1:1" ht="14.45" hidden="1" customHeight="1" x14ac:dyDescent="0.25">
      <c r="A22" t="s">
        <v>191</v>
      </c>
    </row>
    <row r="23" spans="1:1" ht="14.45" hidden="1" customHeight="1" x14ac:dyDescent="0.25">
      <c r="A23" t="s">
        <v>184</v>
      </c>
    </row>
    <row r="24" spans="1:1" ht="14.45" hidden="1" customHeight="1" x14ac:dyDescent="0.25">
      <c r="A24" t="s">
        <v>192</v>
      </c>
    </row>
    <row r="25" spans="1:1" ht="14.45" hidden="1" customHeight="1" x14ac:dyDescent="0.25">
      <c r="A25" t="s">
        <v>184</v>
      </c>
    </row>
    <row r="26" spans="1:1" ht="14.45" hidden="1" customHeight="1" x14ac:dyDescent="0.25">
      <c r="A26" t="s">
        <v>193</v>
      </c>
    </row>
    <row r="27" spans="1:1" ht="14.45" hidden="1" customHeight="1" x14ac:dyDescent="0.25">
      <c r="A27" t="s">
        <v>184</v>
      </c>
    </row>
    <row r="28" spans="1:1" ht="14.45" hidden="1" customHeight="1" x14ac:dyDescent="0.25">
      <c r="A28" t="s">
        <v>194</v>
      </c>
    </row>
    <row r="29" spans="1:1" ht="14.45" hidden="1" customHeight="1" x14ac:dyDescent="0.25">
      <c r="A29" t="s">
        <v>184</v>
      </c>
    </row>
    <row r="30" spans="1:1" ht="14.45" hidden="1" customHeight="1" x14ac:dyDescent="0.25">
      <c r="A30" t="s">
        <v>195</v>
      </c>
    </row>
    <row r="31" spans="1:1" ht="14.45" hidden="1" customHeight="1" x14ac:dyDescent="0.25">
      <c r="A31" t="s">
        <v>184</v>
      </c>
    </row>
    <row r="32" spans="1:1" ht="14.45" hidden="1" customHeight="1" x14ac:dyDescent="0.25">
      <c r="A32" t="s">
        <v>196</v>
      </c>
    </row>
    <row r="33" spans="1:1" ht="14.45" hidden="1" customHeight="1" x14ac:dyDescent="0.25">
      <c r="A33" t="s">
        <v>184</v>
      </c>
    </row>
    <row r="34" spans="1:1" ht="14.45" hidden="1" customHeight="1" x14ac:dyDescent="0.25">
      <c r="A34" t="s">
        <v>197</v>
      </c>
    </row>
    <row r="35" spans="1:1" ht="14.45" hidden="1" customHeight="1" x14ac:dyDescent="0.25">
      <c r="A35" t="s">
        <v>184</v>
      </c>
    </row>
    <row r="36" spans="1:1" ht="14.45" hidden="1" customHeight="1" x14ac:dyDescent="0.25">
      <c r="A36" t="s">
        <v>198</v>
      </c>
    </row>
    <row r="37" spans="1:1" ht="14.45" hidden="1" customHeight="1" x14ac:dyDescent="0.25">
      <c r="A37" t="s">
        <v>184</v>
      </c>
    </row>
    <row r="38" spans="1:1" ht="14.45" hidden="1" customHeight="1" x14ac:dyDescent="0.25">
      <c r="A38" t="s">
        <v>199</v>
      </c>
    </row>
    <row r="39" spans="1:1" ht="14.45" hidden="1" customHeight="1" x14ac:dyDescent="0.25">
      <c r="A39" t="s">
        <v>184</v>
      </c>
    </row>
    <row r="40" spans="1:1" ht="14.45" hidden="1" customHeight="1" x14ac:dyDescent="0.25">
      <c r="A40" t="s">
        <v>200</v>
      </c>
    </row>
    <row r="41" spans="1:1" ht="14.45" hidden="1" customHeight="1" x14ac:dyDescent="0.25">
      <c r="A41" t="s">
        <v>184</v>
      </c>
    </row>
    <row r="42" spans="1:1" ht="14.45" hidden="1" customHeight="1" x14ac:dyDescent="0.25">
      <c r="A42" t="s">
        <v>201</v>
      </c>
    </row>
    <row r="43" spans="1:1" ht="14.45" hidden="1" customHeight="1" x14ac:dyDescent="0.25">
      <c r="A43" t="s">
        <v>184</v>
      </c>
    </row>
    <row r="44" spans="1:1" ht="14.45" hidden="1" customHeight="1" x14ac:dyDescent="0.25">
      <c r="A44" t="s">
        <v>202</v>
      </c>
    </row>
    <row r="45" spans="1:1" ht="14.45" hidden="1" customHeight="1" x14ac:dyDescent="0.25">
      <c r="A45" t="s">
        <v>184</v>
      </c>
    </row>
    <row r="46" spans="1:1" ht="14.45" hidden="1" customHeight="1" x14ac:dyDescent="0.25">
      <c r="A46" t="s">
        <v>203</v>
      </c>
    </row>
    <row r="47" spans="1:1" ht="14.45" hidden="1" customHeight="1" x14ac:dyDescent="0.25">
      <c r="A47" t="s">
        <v>184</v>
      </c>
    </row>
    <row r="48" spans="1:1" ht="14.45" hidden="1" customHeight="1" x14ac:dyDescent="0.25">
      <c r="A48" t="s">
        <v>204</v>
      </c>
    </row>
    <row r="49" spans="1:1" ht="14.45" hidden="1" customHeight="1" x14ac:dyDescent="0.25">
      <c r="A49" t="s">
        <v>184</v>
      </c>
    </row>
    <row r="50" spans="1:1" ht="14.45" hidden="1" customHeight="1" x14ac:dyDescent="0.25">
      <c r="A50" t="s">
        <v>205</v>
      </c>
    </row>
    <row r="51" spans="1:1" ht="14.45" hidden="1" customHeight="1" x14ac:dyDescent="0.25">
      <c r="A51" t="s">
        <v>184</v>
      </c>
    </row>
    <row r="52" spans="1:1" ht="14.45" hidden="1" customHeight="1" x14ac:dyDescent="0.25">
      <c r="A52" t="s">
        <v>206</v>
      </c>
    </row>
    <row r="53" spans="1:1" ht="14.45" hidden="1" customHeight="1" x14ac:dyDescent="0.25">
      <c r="A53" t="s">
        <v>184</v>
      </c>
    </row>
    <row r="54" spans="1:1" ht="14.45" hidden="1" customHeight="1" x14ac:dyDescent="0.25">
      <c r="A54" t="s">
        <v>207</v>
      </c>
    </row>
    <row r="55" spans="1:1" ht="14.45" hidden="1" customHeight="1" x14ac:dyDescent="0.25">
      <c r="A55" t="s">
        <v>184</v>
      </c>
    </row>
    <row r="56" spans="1:1" ht="14.45" hidden="1" customHeight="1" x14ac:dyDescent="0.25">
      <c r="A56" t="s">
        <v>208</v>
      </c>
    </row>
    <row r="57" spans="1:1" ht="14.45" hidden="1" customHeight="1" x14ac:dyDescent="0.25">
      <c r="A57" t="s">
        <v>184</v>
      </c>
    </row>
    <row r="58" spans="1:1" ht="14.45" hidden="1" customHeight="1" x14ac:dyDescent="0.25">
      <c r="A58" t="s">
        <v>209</v>
      </c>
    </row>
    <row r="59" spans="1:1" ht="14.45" hidden="1" customHeight="1" x14ac:dyDescent="0.25">
      <c r="A59" t="s">
        <v>184</v>
      </c>
    </row>
    <row r="60" spans="1:1" ht="14.45" hidden="1" customHeight="1" x14ac:dyDescent="0.25">
      <c r="A60" t="s">
        <v>210</v>
      </c>
    </row>
    <row r="61" spans="1:1" ht="14.45" hidden="1" customHeight="1" x14ac:dyDescent="0.25">
      <c r="A61" t="s">
        <v>184</v>
      </c>
    </row>
    <row r="62" spans="1:1" ht="14.45" hidden="1" customHeight="1" x14ac:dyDescent="0.25">
      <c r="A62" t="s">
        <v>211</v>
      </c>
    </row>
  </sheetData>
  <sheetProtection algorithmName="SHA-512" hashValue="UMDlWcdy5zRkEw2pXEj4X5oxuUf8qKo/lQ1YK4ChhsnVRD8n0P8l/3Qvx/EAfeqqohgR2KUi1+vKdC/qqz8u7A==" saltValue="GkZh9zIFGavWBdwZJPDdDw==" spinCount="100000" sheet="1" objects="1" scenarios="1" selectLockedCells="1"/>
  <mergeCells count="3">
    <mergeCell ref="B5:B8"/>
    <mergeCell ref="C5:C8"/>
    <mergeCell ref="B3:D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_1">
              <controlPr defaultSize="0" autoFill="0" autoLine="0" autoPict="0">
                <anchor moveWithCells="1">
                  <from>
                    <xdr:col>3</xdr:col>
                    <xdr:colOff>152400</xdr:colOff>
                    <xdr:row>5</xdr:row>
                    <xdr:rowOff>0</xdr:rowOff>
                  </from>
                  <to>
                    <xdr:col>3</xdr:col>
                    <xdr:colOff>381000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_2">
              <controlPr defaultSize="0" autoFill="0" autoLine="0" autoPict="0">
                <anchor moveWithCells="1">
                  <from>
                    <xdr:col>3</xdr:col>
                    <xdr:colOff>152400</xdr:colOff>
                    <xdr:row>6</xdr:row>
                    <xdr:rowOff>190500</xdr:rowOff>
                  </from>
                  <to>
                    <xdr:col>3</xdr:col>
                    <xdr:colOff>381000</xdr:colOff>
                    <xdr:row>6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5" name="B_3">
              <controlPr defaultSize="0" autoFill="0" autoLine="0" autoPict="0">
                <anchor moveWithCells="1">
                  <from>
                    <xdr:col>3</xdr:col>
                    <xdr:colOff>142875</xdr:colOff>
                    <xdr:row>6</xdr:row>
                    <xdr:rowOff>933450</xdr:rowOff>
                  </from>
                  <to>
                    <xdr:col>3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6" name="B_4">
              <controlPr defaultSize="0" autoFill="0" autoLine="0" autoPict="0">
                <anchor moveWithCells="1">
                  <from>
                    <xdr:col>3</xdr:col>
                    <xdr:colOff>142875</xdr:colOff>
                    <xdr:row>7</xdr:row>
                    <xdr:rowOff>381000</xdr:rowOff>
                  </from>
                  <to>
                    <xdr:col>3</xdr:col>
                    <xdr:colOff>352425</xdr:colOff>
                    <xdr:row>7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7" name="Group Box 5">
              <controlPr defaultSize="0" autoFill="0" autoPict="0">
                <anchor moveWithCells="1">
                  <from>
                    <xdr:col>3</xdr:col>
                    <xdr:colOff>85725</xdr:colOff>
                    <xdr:row>4</xdr:row>
                    <xdr:rowOff>85725</xdr:rowOff>
                  </from>
                  <to>
                    <xdr:col>3</xdr:col>
                    <xdr:colOff>2619375</xdr:colOff>
                    <xdr:row>7</xdr:row>
                    <xdr:rowOff>1000125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XFC28"/>
  <sheetViews>
    <sheetView showGridLines="0" showRowColHeaders="0" tabSelected="1" topLeftCell="A11" zoomScaleNormal="100" workbookViewId="0">
      <selection activeCell="D4" sqref="D4"/>
    </sheetView>
  </sheetViews>
  <sheetFormatPr baseColWidth="10" defaultColWidth="0" defaultRowHeight="15" zeroHeight="1" x14ac:dyDescent="0.25"/>
  <cols>
    <col min="1" max="1" width="20.7109375" style="4" customWidth="1"/>
    <col min="2" max="2" width="10.7109375" customWidth="1"/>
    <col min="3" max="3" width="35" customWidth="1"/>
    <col min="4" max="4" width="40.7109375" customWidth="1"/>
    <col min="5" max="5" width="10.7109375" customWidth="1"/>
    <col min="6" max="7" width="8.7109375" style="13" hidden="1" customWidth="1"/>
    <col min="8" max="9" width="8.7109375" style="9" hidden="1" customWidth="1"/>
    <col min="10" max="16381" width="11.5703125" hidden="1"/>
    <col min="16382" max="16383" width="12.7109375" hidden="1"/>
    <col min="16384" max="16384" width="5.28515625" hidden="1"/>
  </cols>
  <sheetData>
    <row r="1" spans="1:9" x14ac:dyDescent="0.25">
      <c r="A1" s="70"/>
      <c r="B1" s="4"/>
      <c r="C1" s="4"/>
      <c r="D1" s="4"/>
    </row>
    <row r="2" spans="1:9" x14ac:dyDescent="0.25">
      <c r="B2" s="61"/>
      <c r="C2" s="4"/>
      <c r="D2" s="4"/>
    </row>
    <row r="3" spans="1:9" x14ac:dyDescent="0.25">
      <c r="B3" s="164" t="s">
        <v>355</v>
      </c>
      <c r="C3" s="165"/>
      <c r="D3" s="165"/>
    </row>
    <row r="4" spans="1:9" x14ac:dyDescent="0.25">
      <c r="B4" s="89">
        <v>1</v>
      </c>
      <c r="C4" s="93" t="s">
        <v>412</v>
      </c>
      <c r="D4" s="154"/>
    </row>
    <row r="5" spans="1:9" ht="19.5" customHeight="1" x14ac:dyDescent="0.25">
      <c r="B5" s="89">
        <v>2</v>
      </c>
      <c r="C5" s="77" t="s">
        <v>413</v>
      </c>
      <c r="D5" s="154"/>
    </row>
    <row r="6" spans="1:9" ht="25.15" customHeight="1" x14ac:dyDescent="0.25">
      <c r="B6" s="167">
        <v>3</v>
      </c>
      <c r="C6" s="175" t="s">
        <v>61</v>
      </c>
      <c r="D6" s="155"/>
      <c r="F6" s="13">
        <v>4</v>
      </c>
      <c r="G6" s="13">
        <v>2</v>
      </c>
      <c r="H6" s="10">
        <f>IF(G6=1,1,IF(G6=2,0.3,IF(G6=3,0.1)))</f>
        <v>0.3</v>
      </c>
    </row>
    <row r="7" spans="1:9" ht="25.15" customHeight="1" x14ac:dyDescent="0.25">
      <c r="B7" s="167"/>
      <c r="C7" s="175"/>
      <c r="D7" s="79"/>
    </row>
    <row r="8" spans="1:9" ht="25.15" customHeight="1" x14ac:dyDescent="0.25">
      <c r="B8" s="167"/>
      <c r="C8" s="175"/>
      <c r="D8" s="80"/>
    </row>
    <row r="9" spans="1:9" ht="25.15" customHeight="1" x14ac:dyDescent="0.25">
      <c r="B9" s="167">
        <v>4</v>
      </c>
      <c r="C9" s="168" t="s">
        <v>384</v>
      </c>
      <c r="D9" s="78"/>
      <c r="F9" s="13">
        <v>5</v>
      </c>
      <c r="G9" s="13">
        <v>2</v>
      </c>
      <c r="H9" s="10">
        <f>IF(G9=1,1,IF(G9=2,2,IF(G9=3,0.3)))</f>
        <v>2</v>
      </c>
    </row>
    <row r="10" spans="1:9" ht="25.15" customHeight="1" x14ac:dyDescent="0.25">
      <c r="B10" s="167"/>
      <c r="C10" s="168"/>
      <c r="D10" s="79"/>
    </row>
    <row r="11" spans="1:9" ht="25.15" customHeight="1" x14ac:dyDescent="0.25">
      <c r="B11" s="167"/>
      <c r="C11" s="168"/>
      <c r="D11" s="79"/>
      <c r="I11" s="12"/>
    </row>
    <row r="12" spans="1:9" ht="25.15" customHeight="1" x14ac:dyDescent="0.25">
      <c r="B12" s="167">
        <v>5.0999999999999996</v>
      </c>
      <c r="C12" s="177" t="s">
        <v>385</v>
      </c>
      <c r="D12" s="78"/>
      <c r="E12" s="18"/>
      <c r="F12" s="15" t="s">
        <v>35</v>
      </c>
      <c r="G12" s="13">
        <v>2</v>
      </c>
      <c r="H12" s="10">
        <f>IF(G12=1,3,IF(G12=2,1,IF(G12=3,0.3)))</f>
        <v>1</v>
      </c>
      <c r="I12" s="12"/>
    </row>
    <row r="13" spans="1:9" ht="25.15" customHeight="1" x14ac:dyDescent="0.25">
      <c r="B13" s="167"/>
      <c r="C13" s="178"/>
      <c r="D13" s="79"/>
      <c r="I13" s="12"/>
    </row>
    <row r="14" spans="1:9" ht="25.15" customHeight="1" x14ac:dyDescent="0.25">
      <c r="B14" s="167"/>
      <c r="C14" s="178"/>
      <c r="D14" s="79"/>
      <c r="G14" s="16"/>
    </row>
    <row r="15" spans="1:9" ht="34.15" customHeight="1" x14ac:dyDescent="0.25">
      <c r="B15" s="176">
        <v>5.2</v>
      </c>
      <c r="C15" s="171" t="s">
        <v>378</v>
      </c>
      <c r="D15" s="78"/>
      <c r="F15" s="15" t="s">
        <v>62</v>
      </c>
      <c r="G15" s="17">
        <v>1</v>
      </c>
      <c r="H15" s="10">
        <f>IF(G15=1,1,IF(G15=2,3))</f>
        <v>1</v>
      </c>
    </row>
    <row r="16" spans="1:9" ht="34.15" customHeight="1" x14ac:dyDescent="0.25">
      <c r="B16" s="176"/>
      <c r="C16" s="173"/>
      <c r="D16" s="79"/>
    </row>
    <row r="17" spans="2:10" ht="34.15" customHeight="1" x14ac:dyDescent="0.25">
      <c r="B17" s="176">
        <v>5.3</v>
      </c>
      <c r="C17" s="179" t="s">
        <v>379</v>
      </c>
      <c r="D17" s="78"/>
      <c r="F17" s="15" t="s">
        <v>63</v>
      </c>
      <c r="G17" s="13">
        <v>0</v>
      </c>
      <c r="H17" s="10" t="b">
        <f>IF(G17=1,1,IF(G17=2,1.75))</f>
        <v>0</v>
      </c>
      <c r="J17" s="7"/>
    </row>
    <row r="18" spans="2:10" ht="34.15" customHeight="1" x14ac:dyDescent="0.25">
      <c r="B18" s="176"/>
      <c r="C18" s="180"/>
      <c r="D18" s="80"/>
      <c r="J18" s="7"/>
    </row>
    <row r="19" spans="2:10" ht="72.75" customHeight="1" x14ac:dyDescent="0.25">
      <c r="B19" s="89">
        <v>6.1</v>
      </c>
      <c r="C19" s="95" t="s">
        <v>178</v>
      </c>
      <c r="D19" s="80"/>
      <c r="F19" s="36" t="s">
        <v>49</v>
      </c>
      <c r="G19" s="40">
        <v>0</v>
      </c>
      <c r="H19" s="51" t="b">
        <f>IF(G19=1,0.3,IF(G19=2,1,IF(G19=3,3)))</f>
        <v>0</v>
      </c>
    </row>
    <row r="20" spans="2:10" ht="25.15" customHeight="1" x14ac:dyDescent="0.25">
      <c r="B20" s="176">
        <v>6.2</v>
      </c>
      <c r="C20" s="171" t="s">
        <v>386</v>
      </c>
      <c r="D20" s="79"/>
      <c r="F20" s="15" t="s">
        <v>64</v>
      </c>
      <c r="G20" s="13">
        <v>0</v>
      </c>
      <c r="H20" s="10" t="b">
        <f>IF(G20=1,1,IF(G20=2,1.75,IF(G20=3,3)))</f>
        <v>0</v>
      </c>
      <c r="J20" s="6"/>
    </row>
    <row r="21" spans="2:10" ht="25.15" customHeight="1" x14ac:dyDescent="0.25">
      <c r="B21" s="176"/>
      <c r="C21" s="172"/>
      <c r="D21" s="79"/>
      <c r="J21" s="6"/>
    </row>
    <row r="22" spans="2:10" ht="25.15" customHeight="1" x14ac:dyDescent="0.25">
      <c r="B22" s="176"/>
      <c r="C22" s="173"/>
      <c r="D22" s="80"/>
      <c r="J22" s="6"/>
    </row>
    <row r="23" spans="2:10" ht="25.15" customHeight="1" x14ac:dyDescent="0.25">
      <c r="B23" s="71"/>
      <c r="C23" s="59"/>
      <c r="D23" s="59"/>
      <c r="J23" s="6"/>
    </row>
    <row r="24" spans="2:10" ht="19.149999999999999" customHeight="1" x14ac:dyDescent="0.25">
      <c r="G24" s="13" t="s">
        <v>89</v>
      </c>
      <c r="H24" s="10">
        <f>H6*H9*H12*H15*H17</f>
        <v>0</v>
      </c>
    </row>
    <row r="25" spans="2:10" hidden="1" x14ac:dyDescent="0.25">
      <c r="G25" s="13" t="s">
        <v>90</v>
      </c>
      <c r="H25" s="10">
        <f>(H6*H9*H19*H20)/2</f>
        <v>0</v>
      </c>
    </row>
    <row r="26" spans="2:10" hidden="1" x14ac:dyDescent="0.25">
      <c r="G26" s="13" t="s">
        <v>91</v>
      </c>
      <c r="H26" s="10">
        <f>H6*H9</f>
        <v>0.6</v>
      </c>
    </row>
    <row r="28" spans="2:10" ht="15.75" hidden="1" thickBot="1" x14ac:dyDescent="0.3">
      <c r="G28" s="28" t="s">
        <v>88</v>
      </c>
      <c r="H28" s="11">
        <f>IF(G9=1,H24,IF(G9=2,H25,IF(G9=3,H26)))</f>
        <v>0</v>
      </c>
    </row>
  </sheetData>
  <sheetProtection algorithmName="SHA-512" hashValue="fe7j/W02IvUh20qBST78H62fgeoyzqOfYig/Vkh1x0RxipwCB4iAgnp5UyuQFgM3AACjZSFMWjl5diIMWyqv+g==" saltValue="wg/qMtKi//uhY65nl2J/6g==" spinCount="100000" sheet="1" objects="1" scenarios="1" selectLockedCells="1"/>
  <mergeCells count="13">
    <mergeCell ref="B3:D3"/>
    <mergeCell ref="B6:B8"/>
    <mergeCell ref="C6:C8"/>
    <mergeCell ref="B20:B22"/>
    <mergeCell ref="B9:B11"/>
    <mergeCell ref="C9:C11"/>
    <mergeCell ref="B12:B14"/>
    <mergeCell ref="B15:B16"/>
    <mergeCell ref="B17:B18"/>
    <mergeCell ref="C12:C14"/>
    <mergeCell ref="C20:C22"/>
    <mergeCell ref="C17:C18"/>
    <mergeCell ref="C15:C16"/>
  </mergeCells>
  <hyperlinks>
    <hyperlink ref="C4" location="_ftn1" display="_ftn1" xr:uid="{00000000-0004-0000-0500-000000000000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_1">
              <controlPr defaultSize="0" autoFill="0" autoLine="0" autoPict="0">
                <anchor moveWithCells="1">
                  <from>
                    <xdr:col>3</xdr:col>
                    <xdr:colOff>133350</xdr:colOff>
                    <xdr:row>5</xdr:row>
                    <xdr:rowOff>104775</xdr:rowOff>
                  </from>
                  <to>
                    <xdr:col>3</xdr:col>
                    <xdr:colOff>2447925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_2">
              <controlPr defaultSize="0" autoFill="0" autoLine="0" autoPict="0">
                <anchor moveWithCells="1">
                  <from>
                    <xdr:col>3</xdr:col>
                    <xdr:colOff>133350</xdr:colOff>
                    <xdr:row>6</xdr:row>
                    <xdr:rowOff>85725</xdr:rowOff>
                  </from>
                  <to>
                    <xdr:col>3</xdr:col>
                    <xdr:colOff>2447925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_3">
              <controlPr defaultSize="0" autoFill="0" autoLine="0" autoPict="0">
                <anchor moveWithCells="1">
                  <from>
                    <xdr:col>3</xdr:col>
                    <xdr:colOff>133350</xdr:colOff>
                    <xdr:row>7</xdr:row>
                    <xdr:rowOff>9525</xdr:rowOff>
                  </from>
                  <to>
                    <xdr:col>3</xdr:col>
                    <xdr:colOff>2476500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Group Box 4">
              <controlPr defaultSize="0" autoFill="0" autoPict="0">
                <anchor moveWithCells="1">
                  <from>
                    <xdr:col>3</xdr:col>
                    <xdr:colOff>57150</xdr:colOff>
                    <xdr:row>5</xdr:row>
                    <xdr:rowOff>47625</xdr:rowOff>
                  </from>
                  <to>
                    <xdr:col>3</xdr:col>
                    <xdr:colOff>2638425</xdr:colOff>
                    <xdr:row>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_4">
              <controlPr defaultSize="0" autoFill="0" autoLine="0" autoPict="0">
                <anchor moveWithCells="1">
                  <from>
                    <xdr:col>3</xdr:col>
                    <xdr:colOff>133350</xdr:colOff>
                    <xdr:row>8</xdr:row>
                    <xdr:rowOff>171450</xdr:rowOff>
                  </from>
                  <to>
                    <xdr:col>3</xdr:col>
                    <xdr:colOff>1133475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_5">
              <controlPr defaultSize="0" autoFill="0" autoLine="0" autoPict="0">
                <anchor moveWithCells="1">
                  <from>
                    <xdr:col>3</xdr:col>
                    <xdr:colOff>133350</xdr:colOff>
                    <xdr:row>9</xdr:row>
                    <xdr:rowOff>76200</xdr:rowOff>
                  </from>
                  <to>
                    <xdr:col>3</xdr:col>
                    <xdr:colOff>1133475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0" name="B_11">
              <controlPr defaultSize="0" autoFill="0" autoLine="0" autoPict="0">
                <anchor moveWithCells="1">
                  <from>
                    <xdr:col>3</xdr:col>
                    <xdr:colOff>133350</xdr:colOff>
                    <xdr:row>11</xdr:row>
                    <xdr:rowOff>171450</xdr:rowOff>
                  </from>
                  <to>
                    <xdr:col>3</xdr:col>
                    <xdr:colOff>1514475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1" name="B_12">
              <controlPr defaultSize="0" autoFill="0" autoLine="0" autoPict="0">
                <anchor moveWithCells="1">
                  <from>
                    <xdr:col>3</xdr:col>
                    <xdr:colOff>133350</xdr:colOff>
                    <xdr:row>12</xdr:row>
                    <xdr:rowOff>123825</xdr:rowOff>
                  </from>
                  <to>
                    <xdr:col>3</xdr:col>
                    <xdr:colOff>2190750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2" name="B_13">
              <controlPr defaultSize="0" autoFill="0" autoLine="0" autoPict="0">
                <anchor moveWithCells="1">
                  <from>
                    <xdr:col>3</xdr:col>
                    <xdr:colOff>133350</xdr:colOff>
                    <xdr:row>13</xdr:row>
                    <xdr:rowOff>9525</xdr:rowOff>
                  </from>
                  <to>
                    <xdr:col>3</xdr:col>
                    <xdr:colOff>2190750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3" name="Group Box 12">
              <controlPr defaultSize="0" autoFill="0" autoPict="0">
                <anchor moveWithCells="1">
                  <from>
                    <xdr:col>3</xdr:col>
                    <xdr:colOff>66675</xdr:colOff>
                    <xdr:row>11</xdr:row>
                    <xdr:rowOff>57150</xdr:rowOff>
                  </from>
                  <to>
                    <xdr:col>3</xdr:col>
                    <xdr:colOff>2638425</xdr:colOff>
                    <xdr:row>13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4" name="B_14">
              <controlPr defaultSize="0" autoFill="0" autoLine="0" autoPict="0">
                <anchor moveWithCells="1">
                  <from>
                    <xdr:col>3</xdr:col>
                    <xdr:colOff>133350</xdr:colOff>
                    <xdr:row>14</xdr:row>
                    <xdr:rowOff>200025</xdr:rowOff>
                  </from>
                  <to>
                    <xdr:col>3</xdr:col>
                    <xdr:colOff>1181100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5" name="B_15">
              <controlPr defaultSize="0" autoFill="0" autoLine="0" autoPict="0">
                <anchor moveWithCells="1">
                  <from>
                    <xdr:col>3</xdr:col>
                    <xdr:colOff>133350</xdr:colOff>
                    <xdr:row>15</xdr:row>
                    <xdr:rowOff>47625</xdr:rowOff>
                  </from>
                  <to>
                    <xdr:col>3</xdr:col>
                    <xdr:colOff>1181100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6" name="Group Box 15">
              <controlPr defaultSize="0" autoFill="0" autoPict="0">
                <anchor moveWithCells="1">
                  <from>
                    <xdr:col>3</xdr:col>
                    <xdr:colOff>76200</xdr:colOff>
                    <xdr:row>14</xdr:row>
                    <xdr:rowOff>57150</xdr:rowOff>
                  </from>
                  <to>
                    <xdr:col>3</xdr:col>
                    <xdr:colOff>2638425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7" name="B_16">
              <controlPr defaultSize="0" autoFill="0" autoLine="0" autoPict="0">
                <anchor moveWithCells="1">
                  <from>
                    <xdr:col>3</xdr:col>
                    <xdr:colOff>133350</xdr:colOff>
                    <xdr:row>16</xdr:row>
                    <xdr:rowOff>209550</xdr:rowOff>
                  </from>
                  <to>
                    <xdr:col>3</xdr:col>
                    <xdr:colOff>1181100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18" name="B_17">
              <controlPr defaultSize="0" autoFill="0" autoLine="0" autoPict="0">
                <anchor moveWithCells="1">
                  <from>
                    <xdr:col>3</xdr:col>
                    <xdr:colOff>133350</xdr:colOff>
                    <xdr:row>17</xdr:row>
                    <xdr:rowOff>38100</xdr:rowOff>
                  </from>
                  <to>
                    <xdr:col>3</xdr:col>
                    <xdr:colOff>1181100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19" name="Group Box 19">
              <controlPr defaultSize="0" autoFill="0" autoPict="0">
                <anchor moveWithCells="1">
                  <from>
                    <xdr:col>3</xdr:col>
                    <xdr:colOff>85725</xdr:colOff>
                    <xdr:row>16</xdr:row>
                    <xdr:rowOff>104775</xdr:rowOff>
                  </from>
                  <to>
                    <xdr:col>3</xdr:col>
                    <xdr:colOff>2638425</xdr:colOff>
                    <xdr:row>17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0" name="B_20">
              <controlPr defaultSize="0" autoFill="0" autoLine="0" autoPict="0">
                <anchor moveWithCells="1">
                  <from>
                    <xdr:col>3</xdr:col>
                    <xdr:colOff>133350</xdr:colOff>
                    <xdr:row>18</xdr:row>
                    <xdr:rowOff>219075</xdr:rowOff>
                  </from>
                  <to>
                    <xdr:col>3</xdr:col>
                    <xdr:colOff>1181100</xdr:colOff>
                    <xdr:row>18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1" name="B_21">
              <controlPr defaultSize="0" autoFill="0" autoLine="0" autoPict="0">
                <anchor moveWithCells="1">
                  <from>
                    <xdr:col>3</xdr:col>
                    <xdr:colOff>133350</xdr:colOff>
                    <xdr:row>18</xdr:row>
                    <xdr:rowOff>342900</xdr:rowOff>
                  </from>
                  <to>
                    <xdr:col>3</xdr:col>
                    <xdr:colOff>1181100</xdr:colOff>
                    <xdr:row>18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2" name="B_22">
              <controlPr defaultSize="0" autoFill="0" autoLine="0" autoPict="0">
                <anchor moveWithCells="1">
                  <from>
                    <xdr:col>3</xdr:col>
                    <xdr:colOff>133350</xdr:colOff>
                    <xdr:row>18</xdr:row>
                    <xdr:rowOff>600075</xdr:rowOff>
                  </from>
                  <to>
                    <xdr:col>3</xdr:col>
                    <xdr:colOff>1181100</xdr:colOff>
                    <xdr:row>18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3" name="Group Box 26">
              <controlPr defaultSize="0" autoFill="0" autoPict="0">
                <anchor moveWithCells="1">
                  <from>
                    <xdr:col>3</xdr:col>
                    <xdr:colOff>66675</xdr:colOff>
                    <xdr:row>18</xdr:row>
                    <xdr:rowOff>76200</xdr:rowOff>
                  </from>
                  <to>
                    <xdr:col>3</xdr:col>
                    <xdr:colOff>2638425</xdr:colOff>
                    <xdr:row>18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24" name="B_23">
              <controlPr defaultSize="0" autoFill="0" autoLine="0" autoPict="0">
                <anchor moveWithCells="1">
                  <from>
                    <xdr:col>3</xdr:col>
                    <xdr:colOff>133350</xdr:colOff>
                    <xdr:row>19</xdr:row>
                    <xdr:rowOff>171450</xdr:rowOff>
                  </from>
                  <to>
                    <xdr:col>3</xdr:col>
                    <xdr:colOff>1190625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25" name="B_24">
              <controlPr defaultSize="0" autoFill="0" autoLine="0" autoPict="0">
                <anchor moveWithCells="1">
                  <from>
                    <xdr:col>3</xdr:col>
                    <xdr:colOff>133350</xdr:colOff>
                    <xdr:row>20</xdr:row>
                    <xdr:rowOff>57150</xdr:rowOff>
                  </from>
                  <to>
                    <xdr:col>3</xdr:col>
                    <xdr:colOff>1685925</xdr:colOff>
                    <xdr:row>20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26" name="B_25">
              <controlPr defaultSize="0" autoFill="0" autoLine="0" autoPict="0">
                <anchor moveWithCells="1">
                  <from>
                    <xdr:col>3</xdr:col>
                    <xdr:colOff>133350</xdr:colOff>
                    <xdr:row>20</xdr:row>
                    <xdr:rowOff>285750</xdr:rowOff>
                  </from>
                  <to>
                    <xdr:col>3</xdr:col>
                    <xdr:colOff>1685925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27" name="Group Box 30">
              <controlPr defaultSize="0" autoFill="0" autoPict="0">
                <anchor moveWithCells="1">
                  <from>
                    <xdr:col>3</xdr:col>
                    <xdr:colOff>85725</xdr:colOff>
                    <xdr:row>19</xdr:row>
                    <xdr:rowOff>57150</xdr:rowOff>
                  </from>
                  <to>
                    <xdr:col>3</xdr:col>
                    <xdr:colOff>2638425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28" name="B_6">
              <controlPr defaultSize="0" autoFill="0" autoLine="0" autoPict="0">
                <anchor moveWithCells="1">
                  <from>
                    <xdr:col>3</xdr:col>
                    <xdr:colOff>133350</xdr:colOff>
                    <xdr:row>9</xdr:row>
                    <xdr:rowOff>295275</xdr:rowOff>
                  </from>
                  <to>
                    <xdr:col>3</xdr:col>
                    <xdr:colOff>2447925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29" name="Group Box 8">
              <controlPr defaultSize="0" autoFill="0" autoPict="0">
                <anchor moveWithCells="1">
                  <from>
                    <xdr:col>3</xdr:col>
                    <xdr:colOff>66675</xdr:colOff>
                    <xdr:row>8</xdr:row>
                    <xdr:rowOff>57150</xdr:rowOff>
                  </from>
                  <to>
                    <xdr:col>3</xdr:col>
                    <xdr:colOff>2638425</xdr:colOff>
                    <xdr:row>10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0" name="B_26">
              <controlPr defaultSize="0" autoFill="0" autoLine="0" autoPict="0">
                <anchor moveWithCells="1">
                  <from>
                    <xdr:col>3</xdr:col>
                    <xdr:colOff>1657350</xdr:colOff>
                    <xdr:row>11</xdr:row>
                    <xdr:rowOff>180975</xdr:rowOff>
                  </from>
                  <to>
                    <xdr:col>3</xdr:col>
                    <xdr:colOff>2371725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1" name="B_27">
              <controlPr defaultSize="0" autoFill="0" autoLine="0" autoPict="0">
                <anchor moveWithCells="1">
                  <from>
                    <xdr:col>3</xdr:col>
                    <xdr:colOff>1657350</xdr:colOff>
                    <xdr:row>14</xdr:row>
                    <xdr:rowOff>190500</xdr:rowOff>
                  </from>
                  <to>
                    <xdr:col>3</xdr:col>
                    <xdr:colOff>2362200</xdr:colOff>
                    <xdr:row>14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2" name="B_28">
              <controlPr defaultSize="0" autoFill="0" autoLine="0" autoPict="0">
                <anchor moveWithCells="1">
                  <from>
                    <xdr:col>3</xdr:col>
                    <xdr:colOff>1657350</xdr:colOff>
                    <xdr:row>16</xdr:row>
                    <xdr:rowOff>200025</xdr:rowOff>
                  </from>
                  <to>
                    <xdr:col>3</xdr:col>
                    <xdr:colOff>2409825</xdr:colOff>
                    <xdr:row>16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3" name="B_29">
              <controlPr defaultSize="0" autoFill="0" autoLine="0" autoPict="0">
                <anchor moveWithCells="1">
                  <from>
                    <xdr:col>3</xdr:col>
                    <xdr:colOff>1657350</xdr:colOff>
                    <xdr:row>18</xdr:row>
                    <xdr:rowOff>133350</xdr:rowOff>
                  </from>
                  <to>
                    <xdr:col>3</xdr:col>
                    <xdr:colOff>2362200</xdr:colOff>
                    <xdr:row>18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34" name="B_30">
              <controlPr defaultSize="0" autoFill="0" autoLine="0" autoPict="0">
                <anchor moveWithCells="1">
                  <from>
                    <xdr:col>3</xdr:col>
                    <xdr:colOff>1657350</xdr:colOff>
                    <xdr:row>19</xdr:row>
                    <xdr:rowOff>161925</xdr:rowOff>
                  </from>
                  <to>
                    <xdr:col>3</xdr:col>
                    <xdr:colOff>2362200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XFD109"/>
  <sheetViews>
    <sheetView showGridLines="0" showRowColHeaders="0" zoomScaleNormal="100" workbookViewId="0">
      <selection activeCell="B3" sqref="B3:E3"/>
    </sheetView>
  </sheetViews>
  <sheetFormatPr baseColWidth="10" defaultColWidth="0" defaultRowHeight="15" zeroHeight="1" x14ac:dyDescent="0.25"/>
  <cols>
    <col min="1" max="1" width="20.7109375" style="4" customWidth="1"/>
    <col min="2" max="2" width="10.7109375" style="27" customWidth="1"/>
    <col min="3" max="3" width="30.7109375" style="13" customWidth="1"/>
    <col min="4" max="5" width="20.7109375" style="13" customWidth="1"/>
    <col min="6" max="6" width="10.7109375" style="13" customWidth="1"/>
    <col min="7" max="7" width="10.7109375" style="13" hidden="1" customWidth="1"/>
    <col min="8" max="8" width="15.7109375" style="27" hidden="1" customWidth="1"/>
    <col min="9" max="9" width="7.28515625" style="27" hidden="1" customWidth="1"/>
    <col min="10" max="10" width="8.85546875" style="13" hidden="1" customWidth="1"/>
    <col min="11" max="11" width="6.140625" style="13" hidden="1" customWidth="1"/>
    <col min="12" max="12" width="9.5703125" style="13" hidden="1" customWidth="1"/>
    <col min="13" max="16" width="0" style="13" hidden="1" customWidth="1"/>
    <col min="17" max="16379" width="6.28515625" style="13" hidden="1"/>
    <col min="16380" max="16380" width="7.28515625" style="13" hidden="1"/>
    <col min="16381" max="16381" width="6" style="13" hidden="1"/>
    <col min="16382" max="16382" width="8.85546875" style="13" hidden="1"/>
    <col min="16383" max="16383" width="13.28515625" style="13" hidden="1"/>
    <col min="16384" max="16384" width="12.85546875" style="13" hidden="1"/>
  </cols>
  <sheetData>
    <row r="1" spans="1:12 16381:16384" s="23" customFormat="1" x14ac:dyDescent="0.25">
      <c r="A1" s="127"/>
      <c r="B1" s="129"/>
      <c r="C1" s="127"/>
      <c r="D1" s="127"/>
      <c r="E1" s="127"/>
      <c r="F1" s="127"/>
      <c r="H1" s="121"/>
      <c r="I1" s="121"/>
      <c r="XFA1" s="122"/>
      <c r="XFB1" s="122"/>
      <c r="XFC1" s="122"/>
      <c r="XFD1" s="122"/>
    </row>
    <row r="2" spans="1:12 16381:16384" x14ac:dyDescent="0.25">
      <c r="A2" s="127"/>
      <c r="B2" s="130"/>
      <c r="C2" s="131"/>
      <c r="D2" s="127"/>
      <c r="E2" s="127"/>
      <c r="F2" s="127"/>
      <c r="G2" s="23"/>
      <c r="XFA2" s="123"/>
      <c r="XFB2" s="123"/>
      <c r="XFC2" s="123"/>
      <c r="XFD2" s="123"/>
    </row>
    <row r="3" spans="1:12 16381:16384" ht="15" customHeight="1" x14ac:dyDescent="0.25">
      <c r="A3" s="128"/>
      <c r="B3" s="181" t="s">
        <v>357</v>
      </c>
      <c r="C3" s="182"/>
      <c r="D3" s="182"/>
      <c r="E3" s="183"/>
      <c r="F3" s="132"/>
      <c r="G3" s="124"/>
      <c r="H3" s="29" t="s">
        <v>28</v>
      </c>
      <c r="I3" s="29" t="s">
        <v>8</v>
      </c>
      <c r="J3" s="29" t="s">
        <v>9</v>
      </c>
      <c r="K3" s="52" t="s">
        <v>88</v>
      </c>
      <c r="L3" s="40">
        <f>'5. Agente'!H28</f>
        <v>0</v>
      </c>
      <c r="XFA3" s="123"/>
      <c r="XFB3" s="123"/>
      <c r="XFC3" s="123"/>
      <c r="XFD3" s="123"/>
    </row>
    <row r="4" spans="1:12 16381:16384" ht="82.15" customHeight="1" thickBot="1" x14ac:dyDescent="0.3">
      <c r="A4" s="128"/>
      <c r="B4" s="151">
        <v>1</v>
      </c>
      <c r="C4" s="134" t="s">
        <v>388</v>
      </c>
      <c r="D4" s="188"/>
      <c r="E4" s="188"/>
      <c r="F4" s="135"/>
      <c r="G4" s="125"/>
      <c r="H4" s="24">
        <v>1</v>
      </c>
      <c r="I4" s="24">
        <v>0</v>
      </c>
      <c r="J4" s="24" t="b">
        <f>IF(I4=1,0,IF(I4=2,1,IF(I4=3,3,IF(I4=4,10))))</f>
        <v>0</v>
      </c>
      <c r="K4" s="52" t="s">
        <v>148</v>
      </c>
      <c r="L4" s="40">
        <v>3</v>
      </c>
      <c r="XFA4" s="123"/>
      <c r="XFB4" s="123"/>
      <c r="XFC4" s="123"/>
      <c r="XFD4" s="123"/>
    </row>
    <row r="5" spans="1:12 16381:16384" ht="77.45" customHeight="1" thickBot="1" x14ac:dyDescent="0.3">
      <c r="A5" s="128"/>
      <c r="B5" s="150">
        <v>1.1000000000000001</v>
      </c>
      <c r="C5" s="134" t="s">
        <v>390</v>
      </c>
      <c r="D5" s="188"/>
      <c r="E5" s="188"/>
      <c r="F5" s="135"/>
      <c r="G5" s="125"/>
      <c r="H5" s="24" t="s">
        <v>10</v>
      </c>
      <c r="I5" s="24">
        <v>0</v>
      </c>
      <c r="J5" s="24" t="b">
        <f>IF(I5=1,1,IF(I5=2,3,IF(I5=3,10,IF(I5=4,0))))</f>
        <v>0</v>
      </c>
      <c r="K5" s="29" t="s">
        <v>92</v>
      </c>
      <c r="L5" s="30">
        <f>L4*J4*J5*L3</f>
        <v>0</v>
      </c>
      <c r="XFA5" s="123"/>
      <c r="XFB5" s="123"/>
      <c r="XFC5" s="123"/>
      <c r="XFD5" s="123"/>
    </row>
    <row r="6" spans="1:12 16381:16384" ht="74.45" customHeight="1" x14ac:dyDescent="0.25">
      <c r="A6" s="127"/>
      <c r="B6" s="151">
        <v>2</v>
      </c>
      <c r="C6" s="134" t="s">
        <v>389</v>
      </c>
      <c r="D6" s="188"/>
      <c r="E6" s="188"/>
      <c r="F6" s="135"/>
      <c r="G6" s="125"/>
      <c r="H6" s="24">
        <v>2</v>
      </c>
      <c r="I6" s="24">
        <v>0</v>
      </c>
      <c r="J6" s="24" t="b">
        <f>IF(I6=1,0,IF(I6=2,1,IF(I6=3,3,IF(I6=4,10))))</f>
        <v>0</v>
      </c>
      <c r="K6" s="24"/>
      <c r="L6" s="29"/>
      <c r="XFA6" s="123"/>
      <c r="XFB6" s="123"/>
      <c r="XFC6" s="123"/>
      <c r="XFD6" s="123"/>
    </row>
    <row r="7" spans="1:12 16381:16384" ht="69.599999999999994" customHeight="1" x14ac:dyDescent="0.25">
      <c r="A7" s="127"/>
      <c r="B7" s="150">
        <v>2.1</v>
      </c>
      <c r="C7" s="134" t="s">
        <v>391</v>
      </c>
      <c r="D7" s="188"/>
      <c r="E7" s="188"/>
      <c r="F7" s="135"/>
      <c r="G7" s="125"/>
      <c r="H7" s="24" t="s">
        <v>11</v>
      </c>
      <c r="I7" s="31">
        <v>0</v>
      </c>
      <c r="J7" s="24" t="b">
        <f>IF(I7=1,1,IF(I7=2,3,IF(I7=3,10,IF(I7=4,0))))</f>
        <v>0</v>
      </c>
      <c r="K7" s="24"/>
      <c r="L7" s="24"/>
      <c r="XFA7" s="123"/>
      <c r="XFB7" s="123"/>
      <c r="XFC7" s="123"/>
      <c r="XFD7" s="123"/>
    </row>
    <row r="8" spans="1:12 16381:16384" ht="14.45" customHeight="1" x14ac:dyDescent="0.25">
      <c r="A8" s="127"/>
      <c r="B8" s="186">
        <v>2.2000000000000002</v>
      </c>
      <c r="C8" s="185" t="s">
        <v>392</v>
      </c>
      <c r="D8" s="184" t="s">
        <v>13</v>
      </c>
      <c r="E8" s="133" t="s">
        <v>14</v>
      </c>
      <c r="F8" s="136"/>
      <c r="G8" s="126"/>
      <c r="K8" s="27"/>
      <c r="XFA8" s="123"/>
      <c r="XFB8" s="123"/>
      <c r="XFC8" s="123"/>
      <c r="XFD8" s="123"/>
    </row>
    <row r="9" spans="1:12 16381:16384" x14ac:dyDescent="0.25">
      <c r="A9" s="127"/>
      <c r="B9" s="186"/>
      <c r="C9" s="185"/>
      <c r="D9" s="184"/>
      <c r="E9" s="133" t="s">
        <v>416</v>
      </c>
      <c r="F9" s="136"/>
      <c r="G9" s="126"/>
      <c r="H9" s="14" t="s">
        <v>151</v>
      </c>
      <c r="I9" s="14" t="s">
        <v>8</v>
      </c>
      <c r="J9" s="14" t="s">
        <v>9</v>
      </c>
      <c r="K9" s="27"/>
      <c r="L9" s="14" t="s">
        <v>103</v>
      </c>
      <c r="XFA9" s="123"/>
      <c r="XFB9" s="123"/>
      <c r="XFC9" s="123"/>
      <c r="XFD9" s="123"/>
    </row>
    <row r="10" spans="1:12 16381:16384" ht="30.6" customHeight="1" x14ac:dyDescent="0.25">
      <c r="A10" s="127"/>
      <c r="B10" s="186"/>
      <c r="C10" s="185"/>
      <c r="D10" s="134" t="s">
        <v>15</v>
      </c>
      <c r="E10" s="134"/>
      <c r="F10" s="135"/>
      <c r="G10" s="125"/>
      <c r="H10" s="32" t="s">
        <v>98</v>
      </c>
      <c r="I10" s="24">
        <v>0</v>
      </c>
      <c r="J10" s="24">
        <f t="shared" ref="J10:J14" si="0">IF(I10=1,0,1)</f>
        <v>1</v>
      </c>
      <c r="K10" s="29" t="s">
        <v>95</v>
      </c>
      <c r="L10" s="27">
        <f>$L$4*$J$6*$J$7*J10*$L$3</f>
        <v>0</v>
      </c>
      <c r="XFA10" s="123"/>
      <c r="XFB10" s="123"/>
      <c r="XFC10" s="123"/>
      <c r="XFD10" s="123"/>
    </row>
    <row r="11" spans="1:12 16381:16384" ht="30.6" customHeight="1" x14ac:dyDescent="0.25">
      <c r="A11" s="127"/>
      <c r="B11" s="186"/>
      <c r="C11" s="185"/>
      <c r="D11" s="137" t="s">
        <v>16</v>
      </c>
      <c r="E11" s="138"/>
      <c r="F11" s="139"/>
      <c r="G11" s="23"/>
      <c r="H11" s="32" t="s">
        <v>97</v>
      </c>
      <c r="I11" s="24">
        <v>0</v>
      </c>
      <c r="J11" s="24">
        <f t="shared" si="0"/>
        <v>1</v>
      </c>
      <c r="K11" s="29" t="s">
        <v>96</v>
      </c>
      <c r="L11" s="27">
        <f>$L$4*$J$6*$J$7*J11*$L$3</f>
        <v>0</v>
      </c>
      <c r="XFA11" s="123"/>
      <c r="XFB11" s="123"/>
      <c r="XFC11" s="123"/>
      <c r="XFD11" s="123"/>
    </row>
    <row r="12" spans="1:12 16381:16384" ht="35.450000000000003" customHeight="1" x14ac:dyDescent="0.25">
      <c r="A12" s="127"/>
      <c r="B12" s="186"/>
      <c r="C12" s="185"/>
      <c r="D12" s="134" t="s">
        <v>17</v>
      </c>
      <c r="E12" s="133"/>
      <c r="F12" s="136"/>
      <c r="G12" s="126"/>
      <c r="H12" s="32" t="s">
        <v>99</v>
      </c>
      <c r="I12" s="24">
        <v>0</v>
      </c>
      <c r="J12" s="24">
        <f t="shared" si="0"/>
        <v>1</v>
      </c>
      <c r="K12" s="29" t="s">
        <v>120</v>
      </c>
      <c r="L12" s="27">
        <f t="shared" ref="L12:L16" si="1">$L$4*$J$6*$J$7*J12*$L$3</f>
        <v>0</v>
      </c>
      <c r="XFA12" s="123"/>
      <c r="XFB12" s="123"/>
      <c r="XFC12" s="123"/>
      <c r="XFD12" s="123"/>
    </row>
    <row r="13" spans="1:12 16381:16384" ht="33.6" customHeight="1" x14ac:dyDescent="0.25">
      <c r="A13" s="127"/>
      <c r="B13" s="186"/>
      <c r="C13" s="185"/>
      <c r="D13" s="134" t="s">
        <v>19</v>
      </c>
      <c r="E13" s="134"/>
      <c r="F13" s="135"/>
      <c r="G13" s="125"/>
      <c r="H13" s="32" t="s">
        <v>94</v>
      </c>
      <c r="I13" s="33">
        <v>0</v>
      </c>
      <c r="J13" s="24">
        <f t="shared" si="0"/>
        <v>1</v>
      </c>
      <c r="K13" s="29" t="s">
        <v>121</v>
      </c>
      <c r="L13" s="27">
        <f t="shared" si="1"/>
        <v>0</v>
      </c>
      <c r="XFA13" s="123"/>
      <c r="XFB13" s="123"/>
      <c r="XFC13" s="123"/>
      <c r="XFD13" s="123"/>
    </row>
    <row r="14" spans="1:12 16381:16384" ht="34.9" customHeight="1" x14ac:dyDescent="0.25">
      <c r="A14" s="127"/>
      <c r="B14" s="186"/>
      <c r="C14" s="185"/>
      <c r="D14" s="134" t="s">
        <v>20</v>
      </c>
      <c r="E14" s="133"/>
      <c r="F14" s="136"/>
      <c r="G14" s="126"/>
      <c r="H14" s="32" t="s">
        <v>100</v>
      </c>
      <c r="I14" s="24">
        <v>0</v>
      </c>
      <c r="J14" s="24">
        <f t="shared" si="0"/>
        <v>1</v>
      </c>
      <c r="K14" s="29" t="s">
        <v>122</v>
      </c>
      <c r="L14" s="27">
        <f t="shared" si="1"/>
        <v>0</v>
      </c>
      <c r="XFA14" s="123"/>
      <c r="XFB14" s="123"/>
      <c r="XFC14" s="123"/>
      <c r="XFD14" s="123"/>
    </row>
    <row r="15" spans="1:12 16381:16384" ht="35.450000000000003" customHeight="1" x14ac:dyDescent="0.25">
      <c r="A15" s="127"/>
      <c r="B15" s="186"/>
      <c r="C15" s="185"/>
      <c r="D15" s="134" t="s">
        <v>21</v>
      </c>
      <c r="E15" s="133"/>
      <c r="F15" s="136"/>
      <c r="G15" s="126"/>
      <c r="H15" s="32" t="s">
        <v>93</v>
      </c>
      <c r="I15" s="24">
        <v>0</v>
      </c>
      <c r="J15" s="24">
        <f>IF(I15=1,0,1)</f>
        <v>1</v>
      </c>
      <c r="K15" s="29" t="s">
        <v>123</v>
      </c>
      <c r="L15" s="27">
        <f t="shared" si="1"/>
        <v>0</v>
      </c>
      <c r="XFA15" s="123"/>
      <c r="XFB15" s="123"/>
      <c r="XFC15" s="123"/>
      <c r="XFD15" s="123"/>
    </row>
    <row r="16" spans="1:12 16381:16384" ht="37.9" customHeight="1" x14ac:dyDescent="0.25">
      <c r="A16" s="127"/>
      <c r="B16" s="186"/>
      <c r="C16" s="185"/>
      <c r="D16" s="134" t="s">
        <v>22</v>
      </c>
      <c r="E16" s="133"/>
      <c r="F16" s="136"/>
      <c r="G16" s="126"/>
      <c r="H16" s="34" t="s">
        <v>102</v>
      </c>
      <c r="I16" s="35">
        <v>0</v>
      </c>
      <c r="J16" s="24">
        <f>IF(I16=1,0,1)</f>
        <v>1</v>
      </c>
      <c r="K16" s="29" t="s">
        <v>124</v>
      </c>
      <c r="L16" s="27">
        <f t="shared" si="1"/>
        <v>0</v>
      </c>
      <c r="XFA16" s="123"/>
      <c r="XFB16" s="123"/>
      <c r="XFC16" s="123"/>
      <c r="XFD16" s="123"/>
    </row>
    <row r="17" spans="1:16 16381:16384" ht="37.9" customHeight="1" thickBot="1" x14ac:dyDescent="0.3">
      <c r="A17" s="127"/>
      <c r="B17" s="186"/>
      <c r="C17" s="185"/>
      <c r="D17" s="134" t="s">
        <v>23</v>
      </c>
      <c r="E17" s="133"/>
      <c r="F17" s="136"/>
      <c r="G17" s="126"/>
      <c r="H17" s="34" t="s">
        <v>101</v>
      </c>
      <c r="I17" s="35">
        <v>0</v>
      </c>
      <c r="J17" s="24">
        <f>IF(I17=1,0,1)</f>
        <v>1</v>
      </c>
      <c r="K17" s="29" t="s">
        <v>125</v>
      </c>
      <c r="L17" s="27">
        <f>$L$4*$J$6*$J$7*J17*$L$3</f>
        <v>0</v>
      </c>
      <c r="P17" s="40"/>
      <c r="XFA17" s="123"/>
      <c r="XFB17" s="123"/>
      <c r="XFC17" s="123"/>
      <c r="XFD17" s="123"/>
    </row>
    <row r="18" spans="1:16 16381:16384" ht="52.15" customHeight="1" thickBot="1" x14ac:dyDescent="0.3">
      <c r="A18" s="127"/>
      <c r="B18" s="140"/>
      <c r="C18" s="141"/>
      <c r="D18" s="141"/>
      <c r="E18" s="142"/>
      <c r="F18" s="142"/>
      <c r="G18" s="126"/>
      <c r="H18" s="33"/>
      <c r="I18" s="35"/>
      <c r="J18" s="36"/>
      <c r="K18" s="29" t="s">
        <v>104</v>
      </c>
      <c r="L18" s="30">
        <f>SUM(L10:L17)+L5</f>
        <v>0</v>
      </c>
      <c r="XFA18" s="123"/>
      <c r="XFB18" s="123"/>
      <c r="XFC18" s="123"/>
      <c r="XFD18" s="123"/>
    </row>
    <row r="19" spans="1:16 16381:16384" ht="14.45" hidden="1" customHeight="1" x14ac:dyDescent="0.25">
      <c r="B19" s="126"/>
      <c r="C19" s="125"/>
      <c r="D19" s="125"/>
      <c r="E19" s="125"/>
      <c r="F19" s="125"/>
      <c r="G19" s="125"/>
      <c r="H19" s="121"/>
      <c r="I19" s="121"/>
      <c r="J19" s="23"/>
      <c r="K19" s="23"/>
      <c r="L19" s="23"/>
    </row>
    <row r="20" spans="1:16 16381:16384" hidden="1" x14ac:dyDescent="0.25">
      <c r="B20" s="125"/>
      <c r="C20" s="187"/>
      <c r="D20" s="187"/>
      <c r="E20" s="187"/>
      <c r="F20" s="187"/>
      <c r="G20" s="187"/>
      <c r="H20" s="187"/>
      <c r="I20" s="187"/>
      <c r="J20" s="187"/>
      <c r="K20" s="187"/>
      <c r="L20" s="187"/>
    </row>
    <row r="23" spans="1:16 16381:16384" ht="24" hidden="1" customHeight="1" x14ac:dyDescent="0.25"/>
    <row r="24" spans="1:16 16381:16384" ht="15.6" hidden="1" customHeight="1" x14ac:dyDescent="0.25"/>
    <row r="40" ht="15.6" hidden="1" customHeight="1" x14ac:dyDescent="0.25"/>
    <row r="109" ht="14.45" hidden="1" customHeight="1" x14ac:dyDescent="0.25"/>
  </sheetData>
  <sheetProtection algorithmName="SHA-512" hashValue="K0Tf/FOoYb+ep3ISKn2Evm8HxBxbR1Sn80h+Ff+1t/nMX0m4nzUVttta6JKumX6MGXIZ6U2WPEuCXckAHcj9Vg==" saltValue="q8MqlHHWP5+L4hiDIQCmwg==" spinCount="100000" sheet="1" objects="1" scenarios="1" selectLockedCells="1"/>
  <mergeCells count="9">
    <mergeCell ref="B3:E3"/>
    <mergeCell ref="D8:D9"/>
    <mergeCell ref="C8:C17"/>
    <mergeCell ref="B8:B17"/>
    <mergeCell ref="C20:L20"/>
    <mergeCell ref="D7:E7"/>
    <mergeCell ref="D6:E6"/>
    <mergeCell ref="D5:E5"/>
    <mergeCell ref="D4:E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_15">
              <controlPr defaultSize="0" autoFill="0" autoLine="0" autoPict="0">
                <anchor moveWithCells="1">
                  <from>
                    <xdr:col>4</xdr:col>
                    <xdr:colOff>352425</xdr:colOff>
                    <xdr:row>9</xdr:row>
                    <xdr:rowOff>95250</xdr:rowOff>
                  </from>
                  <to>
                    <xdr:col>4</xdr:col>
                    <xdr:colOff>571500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_16">
              <controlPr defaultSize="0" autoFill="0" autoLine="0" autoPict="0">
                <anchor moveWithCells="1">
                  <from>
                    <xdr:col>4</xdr:col>
                    <xdr:colOff>819150</xdr:colOff>
                    <xdr:row>9</xdr:row>
                    <xdr:rowOff>95250</xdr:rowOff>
                  </from>
                  <to>
                    <xdr:col>4</xdr:col>
                    <xdr:colOff>1038225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Group Box 3">
              <controlPr defaultSize="0" autoFill="0" autoPict="0">
                <anchor moveWithCells="1">
                  <from>
                    <xdr:col>4</xdr:col>
                    <xdr:colOff>114300</xdr:colOff>
                    <xdr:row>9</xdr:row>
                    <xdr:rowOff>28575</xdr:rowOff>
                  </from>
                  <to>
                    <xdr:col>4</xdr:col>
                    <xdr:colOff>1314450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_17">
              <controlPr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123825</xdr:rowOff>
                  </from>
                  <to>
                    <xdr:col>4</xdr:col>
                    <xdr:colOff>571500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_18">
              <controlPr defaultSize="0" autoFill="0" autoLine="0" autoPict="0">
                <anchor moveWithCells="1">
                  <from>
                    <xdr:col>4</xdr:col>
                    <xdr:colOff>819150</xdr:colOff>
                    <xdr:row>10</xdr:row>
                    <xdr:rowOff>104775</xdr:rowOff>
                  </from>
                  <to>
                    <xdr:col>4</xdr:col>
                    <xdr:colOff>1133475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Group Box 6">
              <controlPr defaultSize="0" autoFill="0" autoPict="0">
                <anchor moveWithCells="1">
                  <from>
                    <xdr:col>4</xdr:col>
                    <xdr:colOff>123825</xdr:colOff>
                    <xdr:row>10</xdr:row>
                    <xdr:rowOff>66675</xdr:rowOff>
                  </from>
                  <to>
                    <xdr:col>4</xdr:col>
                    <xdr:colOff>1304925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_1">
              <controlPr defaultSize="0" autoFill="0" autoLine="0" autoPict="0">
                <anchor moveWithCells="1">
                  <from>
                    <xdr:col>3</xdr:col>
                    <xdr:colOff>95250</xdr:colOff>
                    <xdr:row>3</xdr:row>
                    <xdr:rowOff>228600</xdr:rowOff>
                  </from>
                  <to>
                    <xdr:col>4</xdr:col>
                    <xdr:colOff>695325</xdr:colOff>
                    <xdr:row>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1" name="B_2">
              <controlPr defaultSize="0" autoFill="0" autoLine="0" autoPict="0">
                <anchor moveWithCells="1">
                  <from>
                    <xdr:col>3</xdr:col>
                    <xdr:colOff>95250</xdr:colOff>
                    <xdr:row>3</xdr:row>
                    <xdr:rowOff>400050</xdr:rowOff>
                  </from>
                  <to>
                    <xdr:col>4</xdr:col>
                    <xdr:colOff>809625</xdr:colOff>
                    <xdr:row>3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2" name="B_3">
              <controlPr defaultSize="0" autoFill="0" autoLine="0" autoPict="0">
                <anchor moveWithCells="1">
                  <from>
                    <xdr:col>3</xdr:col>
                    <xdr:colOff>95250</xdr:colOff>
                    <xdr:row>3</xdr:row>
                    <xdr:rowOff>552450</xdr:rowOff>
                  </from>
                  <to>
                    <xdr:col>4</xdr:col>
                    <xdr:colOff>904875</xdr:colOff>
                    <xdr:row>3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3" name="B_4">
              <controlPr defaultSize="0" autoFill="0" autoLine="0" autoPict="0">
                <anchor moveWithCells="1">
                  <from>
                    <xdr:col>3</xdr:col>
                    <xdr:colOff>95250</xdr:colOff>
                    <xdr:row>3</xdr:row>
                    <xdr:rowOff>733425</xdr:rowOff>
                  </from>
                  <to>
                    <xdr:col>4</xdr:col>
                    <xdr:colOff>1066800</xdr:colOff>
                    <xdr:row>3</xdr:row>
                    <xdr:rowOff>923925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4" name="Group Box 11">
              <controlPr defaultSize="0" autoFill="0" autoPict="0">
                <anchor moveWithCells="1">
                  <from>
                    <xdr:col>3</xdr:col>
                    <xdr:colOff>57150</xdr:colOff>
                    <xdr:row>3</xdr:row>
                    <xdr:rowOff>57150</xdr:rowOff>
                  </from>
                  <to>
                    <xdr:col>4</xdr:col>
                    <xdr:colOff>1323975</xdr:colOff>
                    <xdr:row>3</xdr:row>
                    <xdr:rowOff>971550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5" name="Group Box 17">
              <controlPr defaultSize="0" autoFill="0" autoPict="0">
                <anchor moveWithCells="1">
                  <from>
                    <xdr:col>3</xdr:col>
                    <xdr:colOff>47625</xdr:colOff>
                    <xdr:row>4</xdr:row>
                    <xdr:rowOff>57150</xdr:rowOff>
                  </from>
                  <to>
                    <xdr:col>4</xdr:col>
                    <xdr:colOff>1323975</xdr:colOff>
                    <xdr:row>4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6" name="Group Box 23">
              <controlPr defaultSize="0" autoFill="0" autoPict="0">
                <anchor moveWithCells="1">
                  <from>
                    <xdr:col>3</xdr:col>
                    <xdr:colOff>47625</xdr:colOff>
                    <xdr:row>5</xdr:row>
                    <xdr:rowOff>95250</xdr:rowOff>
                  </from>
                  <to>
                    <xdr:col>4</xdr:col>
                    <xdr:colOff>1323975</xdr:colOff>
                    <xdr:row>5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17" name="B_8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171450</xdr:rowOff>
                  </from>
                  <to>
                    <xdr:col>4</xdr:col>
                    <xdr:colOff>742950</xdr:colOff>
                    <xdr:row>5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18" name="B_9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304800</xdr:rowOff>
                  </from>
                  <to>
                    <xdr:col>4</xdr:col>
                    <xdr:colOff>1038225</xdr:colOff>
                    <xdr:row>5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19" name="B_10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457200</xdr:rowOff>
                  </from>
                  <to>
                    <xdr:col>4</xdr:col>
                    <xdr:colOff>866775</xdr:colOff>
                    <xdr:row>5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20" name="B_11">
              <controlPr defaultSize="0" autoFill="0" autoLine="0" autoPict="0">
                <anchor moveWithCells="1">
                  <from>
                    <xdr:col>3</xdr:col>
                    <xdr:colOff>95250</xdr:colOff>
                    <xdr:row>5</xdr:row>
                    <xdr:rowOff>609600</xdr:rowOff>
                  </from>
                  <to>
                    <xdr:col>4</xdr:col>
                    <xdr:colOff>1095375</xdr:colOff>
                    <xdr:row>5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21" name="Group Box 30">
              <controlPr defaultSize="0" autoFill="0" autoPict="0">
                <anchor moveWithCells="1">
                  <from>
                    <xdr:col>3</xdr:col>
                    <xdr:colOff>47625</xdr:colOff>
                    <xdr:row>6</xdr:row>
                    <xdr:rowOff>57150</xdr:rowOff>
                  </from>
                  <to>
                    <xdr:col>4</xdr:col>
                    <xdr:colOff>1323975</xdr:colOff>
                    <xdr:row>6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22" name="B_12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209550</xdr:rowOff>
                  </from>
                  <to>
                    <xdr:col>4</xdr:col>
                    <xdr:colOff>1285875</xdr:colOff>
                    <xdr:row>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6" r:id="rId23" name="B_13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381000</xdr:rowOff>
                  </from>
                  <to>
                    <xdr:col>4</xdr:col>
                    <xdr:colOff>1266825</xdr:colOff>
                    <xdr:row>6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8" r:id="rId24" name="Group Box 34">
              <controlPr defaultSize="0" autoFill="0" autoPict="0">
                <anchor moveWithCells="1">
                  <from>
                    <xdr:col>4</xdr:col>
                    <xdr:colOff>114300</xdr:colOff>
                    <xdr:row>11</xdr:row>
                    <xdr:rowOff>66675</xdr:rowOff>
                  </from>
                  <to>
                    <xdr:col>4</xdr:col>
                    <xdr:colOff>1314450</xdr:colOff>
                    <xdr:row>11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0" r:id="rId25" name="Group Box 36">
              <controlPr defaultSize="0" autoFill="0" autoPict="0">
                <anchor moveWithCells="1">
                  <from>
                    <xdr:col>4</xdr:col>
                    <xdr:colOff>114300</xdr:colOff>
                    <xdr:row>12</xdr:row>
                    <xdr:rowOff>47625</xdr:rowOff>
                  </from>
                  <to>
                    <xdr:col>4</xdr:col>
                    <xdr:colOff>1314450</xdr:colOff>
                    <xdr:row>12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26" name="Group Box 37">
              <controlPr defaultSize="0" autoFill="0" autoPict="0">
                <anchor moveWithCells="1">
                  <from>
                    <xdr:col>4</xdr:col>
                    <xdr:colOff>114300</xdr:colOff>
                    <xdr:row>13</xdr:row>
                    <xdr:rowOff>57150</xdr:rowOff>
                  </from>
                  <to>
                    <xdr:col>4</xdr:col>
                    <xdr:colOff>1314450</xdr:colOff>
                    <xdr:row>13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27" name="Group Box 38">
              <controlPr defaultSize="0" autoFill="0" autoPict="0">
                <anchor moveWithCells="1">
                  <from>
                    <xdr:col>4</xdr:col>
                    <xdr:colOff>114300</xdr:colOff>
                    <xdr:row>14</xdr:row>
                    <xdr:rowOff>66675</xdr:rowOff>
                  </from>
                  <to>
                    <xdr:col>4</xdr:col>
                    <xdr:colOff>1314450</xdr:colOff>
                    <xdr:row>14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28" name="Group Box 39">
              <controlPr defaultSize="0" autoFill="0" autoPict="0">
                <anchor moveWithCells="1">
                  <from>
                    <xdr:col>4</xdr:col>
                    <xdr:colOff>114300</xdr:colOff>
                    <xdr:row>15</xdr:row>
                    <xdr:rowOff>76200</xdr:rowOff>
                  </from>
                  <to>
                    <xdr:col>4</xdr:col>
                    <xdr:colOff>1314450</xdr:colOff>
                    <xdr:row>15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1" r:id="rId29" name="B_19">
              <controlPr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133350</xdr:rowOff>
                  </from>
                  <to>
                    <xdr:col>4</xdr:col>
                    <xdr:colOff>704850</xdr:colOff>
                    <xdr:row>11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2" r:id="rId30" name="B_20">
              <controlPr defaultSize="0" autoFill="0" autoLine="0" autoPict="0">
                <anchor moveWithCells="1">
                  <from>
                    <xdr:col>4</xdr:col>
                    <xdr:colOff>828675</xdr:colOff>
                    <xdr:row>11</xdr:row>
                    <xdr:rowOff>133350</xdr:rowOff>
                  </from>
                  <to>
                    <xdr:col>4</xdr:col>
                    <xdr:colOff>1200150</xdr:colOff>
                    <xdr:row>11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31" name="B_21">
              <controlPr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104775</xdr:rowOff>
                  </from>
                  <to>
                    <xdr:col>4</xdr:col>
                    <xdr:colOff>609600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2" r:id="rId32" name="B_22">
              <controlPr defaultSize="0" autoFill="0" autoLine="0" autoPict="0">
                <anchor moveWithCells="1">
                  <from>
                    <xdr:col>4</xdr:col>
                    <xdr:colOff>847725</xdr:colOff>
                    <xdr:row>12</xdr:row>
                    <xdr:rowOff>114300</xdr:rowOff>
                  </from>
                  <to>
                    <xdr:col>4</xdr:col>
                    <xdr:colOff>1085850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33" name="B_23">
              <controlPr defaultSize="0" autoFill="0" autoLine="0" autoPict="0">
                <anchor moveWithCells="1">
                  <from>
                    <xdr:col>4</xdr:col>
                    <xdr:colOff>371475</xdr:colOff>
                    <xdr:row>13</xdr:row>
                    <xdr:rowOff>133350</xdr:rowOff>
                  </from>
                  <to>
                    <xdr:col>4</xdr:col>
                    <xdr:colOff>657225</xdr:colOff>
                    <xdr:row>13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4" r:id="rId34" name="B_24">
              <controlPr defaultSize="0" autoFill="0" autoLine="0" autoPict="0">
                <anchor moveWithCells="1">
                  <from>
                    <xdr:col>4</xdr:col>
                    <xdr:colOff>847725</xdr:colOff>
                    <xdr:row>13</xdr:row>
                    <xdr:rowOff>133350</xdr:rowOff>
                  </from>
                  <to>
                    <xdr:col>4</xdr:col>
                    <xdr:colOff>1114425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7" r:id="rId35" name="B_25">
              <controlPr defaultSize="0" autoFill="0" autoLine="0" autoPict="0">
                <anchor moveWithCells="1">
                  <from>
                    <xdr:col>4</xdr:col>
                    <xdr:colOff>381000</xdr:colOff>
                    <xdr:row>14</xdr:row>
                    <xdr:rowOff>123825</xdr:rowOff>
                  </from>
                  <to>
                    <xdr:col>4</xdr:col>
                    <xdr:colOff>657225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36" name="B_26">
              <controlPr defaultSize="0" autoFill="0" autoLine="0" autoPict="0">
                <anchor moveWithCells="1">
                  <from>
                    <xdr:col>4</xdr:col>
                    <xdr:colOff>857250</xdr:colOff>
                    <xdr:row>14</xdr:row>
                    <xdr:rowOff>123825</xdr:rowOff>
                  </from>
                  <to>
                    <xdr:col>4</xdr:col>
                    <xdr:colOff>1171575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37" name="B_27">
              <controlPr defaultSize="0" autoFill="0" autoLine="0" autoPict="0">
                <anchor moveWithCells="1">
                  <from>
                    <xdr:col>4</xdr:col>
                    <xdr:colOff>381000</xdr:colOff>
                    <xdr:row>15</xdr:row>
                    <xdr:rowOff>133350</xdr:rowOff>
                  </from>
                  <to>
                    <xdr:col>4</xdr:col>
                    <xdr:colOff>676275</xdr:colOff>
                    <xdr:row>15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38" name="B_28">
              <controlPr defaultSize="0" autoFill="0" autoLine="0" autoPict="0">
                <anchor moveWithCells="1">
                  <from>
                    <xdr:col>4</xdr:col>
                    <xdr:colOff>857250</xdr:colOff>
                    <xdr:row>15</xdr:row>
                    <xdr:rowOff>133350</xdr:rowOff>
                  </from>
                  <to>
                    <xdr:col>4</xdr:col>
                    <xdr:colOff>1209675</xdr:colOff>
                    <xdr:row>15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1" r:id="rId39" name="Group Box 117">
              <controlPr defaultSize="0" autoFill="0" autoPict="0">
                <anchor moveWithCells="1">
                  <from>
                    <xdr:col>4</xdr:col>
                    <xdr:colOff>114300</xdr:colOff>
                    <xdr:row>16</xdr:row>
                    <xdr:rowOff>57150</xdr:rowOff>
                  </from>
                  <to>
                    <xdr:col>4</xdr:col>
                    <xdr:colOff>1314450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2" r:id="rId40" name="B_29">
              <controlPr defaultSize="0" autoFill="0" autoLine="0" autoPict="0">
                <anchor moveWithCells="1">
                  <from>
                    <xdr:col>4</xdr:col>
                    <xdr:colOff>381000</xdr:colOff>
                    <xdr:row>16</xdr:row>
                    <xdr:rowOff>104775</xdr:rowOff>
                  </from>
                  <to>
                    <xdr:col>4</xdr:col>
                    <xdr:colOff>676275</xdr:colOff>
                    <xdr:row>16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3" r:id="rId41" name="B_30">
              <controlPr defaultSize="0" autoFill="0" autoLine="0" autoPict="0">
                <anchor moveWithCells="1">
                  <from>
                    <xdr:col>4</xdr:col>
                    <xdr:colOff>857250</xdr:colOff>
                    <xdr:row>16</xdr:row>
                    <xdr:rowOff>104775</xdr:rowOff>
                  </from>
                  <to>
                    <xdr:col>4</xdr:col>
                    <xdr:colOff>1209675</xdr:colOff>
                    <xdr:row>16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5" r:id="rId42" name="B_14">
              <controlPr defaultSize="0" autoFill="0" autoLine="0" autoPict="0">
                <anchor moveWithCells="1">
                  <from>
                    <xdr:col>3</xdr:col>
                    <xdr:colOff>95250</xdr:colOff>
                    <xdr:row>6</xdr:row>
                    <xdr:rowOff>552450</xdr:rowOff>
                  </from>
                  <to>
                    <xdr:col>4</xdr:col>
                    <xdr:colOff>1209675</xdr:colOff>
                    <xdr:row>6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6" r:id="rId43" name="B_5">
              <controlPr defaultSize="0" autoFill="0" autoLine="0" autoPict="0">
                <anchor moveWithCells="1">
                  <from>
                    <xdr:col>3</xdr:col>
                    <xdr:colOff>95250</xdr:colOff>
                    <xdr:row>4</xdr:row>
                    <xdr:rowOff>219075</xdr:rowOff>
                  </from>
                  <to>
                    <xdr:col>4</xdr:col>
                    <xdr:colOff>1238250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8" r:id="rId44" name="B_6">
              <controlPr defaultSize="0" autoFill="0" autoLine="0" autoPict="0">
                <anchor moveWithCells="1">
                  <from>
                    <xdr:col>3</xdr:col>
                    <xdr:colOff>95250</xdr:colOff>
                    <xdr:row>4</xdr:row>
                    <xdr:rowOff>409575</xdr:rowOff>
                  </from>
                  <to>
                    <xdr:col>4</xdr:col>
                    <xdr:colOff>1228725</xdr:colOff>
                    <xdr:row>4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9" r:id="rId45" name="B_7">
              <controlPr defaultSize="0" autoFill="0" autoLine="0" autoPict="0">
                <anchor moveWithCells="1">
                  <from>
                    <xdr:col>3</xdr:col>
                    <xdr:colOff>95250</xdr:colOff>
                    <xdr:row>4</xdr:row>
                    <xdr:rowOff>571500</xdr:rowOff>
                  </from>
                  <to>
                    <xdr:col>4</xdr:col>
                    <xdr:colOff>990600</xdr:colOff>
                    <xdr:row>4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0" r:id="rId46" name="B_126">
              <controlPr defaultSize="0" autoFill="0" autoLine="0" autoPict="0">
                <anchor moveWithCells="1">
                  <from>
                    <xdr:col>4</xdr:col>
                    <xdr:colOff>657225</xdr:colOff>
                    <xdr:row>4</xdr:row>
                    <xdr:rowOff>76200</xdr:rowOff>
                  </from>
                  <to>
                    <xdr:col>4</xdr:col>
                    <xdr:colOff>1238250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2" r:id="rId47" name="B_128">
              <controlPr defaultSize="0" autoFill="0" autoLine="0" autoPict="0">
                <anchor moveWithCells="1">
                  <from>
                    <xdr:col>4</xdr:col>
                    <xdr:colOff>666750</xdr:colOff>
                    <xdr:row>6</xdr:row>
                    <xdr:rowOff>76200</xdr:rowOff>
                  </from>
                  <to>
                    <xdr:col>4</xdr:col>
                    <xdr:colOff>1114425</xdr:colOff>
                    <xdr:row>6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4"/>
  <dimension ref="A1:XFC107"/>
  <sheetViews>
    <sheetView showGridLines="0" showRowColHeaders="0" zoomScaleNormal="100" zoomScaleSheetLayoutView="100" workbookViewId="0">
      <selection activeCell="G1" sqref="G1:XFD1048576"/>
    </sheetView>
  </sheetViews>
  <sheetFormatPr baseColWidth="10" defaultColWidth="0" defaultRowHeight="15" zeroHeight="1" x14ac:dyDescent="0.25"/>
  <cols>
    <col min="1" max="1" width="20.7109375" style="23" customWidth="1"/>
    <col min="2" max="2" width="10.7109375" style="27" customWidth="1"/>
    <col min="3" max="3" width="30.7109375" style="13" customWidth="1"/>
    <col min="4" max="5" width="20.7109375" style="13" customWidth="1"/>
    <col min="6" max="6" width="10.7109375" style="23" customWidth="1"/>
    <col min="7" max="7" width="10.7109375" style="13" hidden="1"/>
    <col min="8" max="8" width="21.140625" style="27" hidden="1"/>
    <col min="9" max="9" width="23.28515625" style="27" hidden="1"/>
    <col min="10" max="10" width="11.5703125" style="13" hidden="1"/>
    <col min="11" max="11" width="14.42578125" style="13" hidden="1"/>
    <col min="12" max="12" width="17.140625" style="13" hidden="1"/>
    <col min="13" max="16383" width="14.28515625" style="13" hidden="1"/>
    <col min="16384" max="16384" width="13.28515625" style="13" hidden="1"/>
  </cols>
  <sheetData>
    <row r="1" spans="1:16" s="23" customFormat="1" x14ac:dyDescent="0.25">
      <c r="A1" s="4"/>
      <c r="B1" s="72"/>
      <c r="C1" s="4"/>
      <c r="D1" s="4"/>
      <c r="E1" s="4"/>
      <c r="F1" s="4"/>
      <c r="H1" s="121"/>
      <c r="I1" s="121"/>
    </row>
    <row r="2" spans="1:16" x14ac:dyDescent="0.25">
      <c r="A2" s="4"/>
      <c r="B2" s="73"/>
      <c r="C2" s="56"/>
      <c r="D2" s="4"/>
      <c r="E2" s="4"/>
      <c r="F2" s="4"/>
      <c r="G2" s="23"/>
    </row>
    <row r="3" spans="1:16" ht="15" customHeight="1" x14ac:dyDescent="0.25">
      <c r="A3" s="4"/>
      <c r="B3" s="164" t="s">
        <v>179</v>
      </c>
      <c r="C3" s="165"/>
      <c r="D3" s="165"/>
      <c r="E3" s="166"/>
      <c r="F3" s="118"/>
      <c r="G3" s="23"/>
      <c r="H3" s="29" t="s">
        <v>28</v>
      </c>
      <c r="I3" s="29" t="s">
        <v>8</v>
      </c>
      <c r="J3" s="29" t="s">
        <v>9</v>
      </c>
    </row>
    <row r="4" spans="1:16" ht="74.45" customHeight="1" x14ac:dyDescent="0.25">
      <c r="A4" s="4"/>
      <c r="B4" s="89">
        <v>3</v>
      </c>
      <c r="C4" s="77" t="s">
        <v>393</v>
      </c>
      <c r="D4" s="175"/>
      <c r="E4" s="175"/>
      <c r="F4" s="119"/>
      <c r="G4" s="23"/>
      <c r="H4" s="24">
        <v>3</v>
      </c>
      <c r="I4" s="24">
        <v>0</v>
      </c>
      <c r="J4" s="24" t="b">
        <f>IF(I4=1,0,IF(I4=2,1,IF(I4=3,3,IF(I4=4,10))))</f>
        <v>0</v>
      </c>
      <c r="K4" s="28" t="s">
        <v>88</v>
      </c>
      <c r="L4" s="13">
        <f>'5. Agente'!H28</f>
        <v>0</v>
      </c>
    </row>
    <row r="5" spans="1:16" ht="69.599999999999994" customHeight="1" x14ac:dyDescent="0.25">
      <c r="A5" s="4"/>
      <c r="B5" s="89">
        <v>3.1</v>
      </c>
      <c r="C5" s="77" t="s">
        <v>394</v>
      </c>
      <c r="D5" s="175"/>
      <c r="E5" s="175"/>
      <c r="F5" s="119"/>
      <c r="G5" s="23"/>
      <c r="H5" s="24">
        <v>3.1</v>
      </c>
      <c r="I5" s="31">
        <v>0</v>
      </c>
      <c r="J5" s="24" t="b">
        <f>IF(I5=1,1,IF(I5=2,3,IF(I5=3,10,IF(I5=4,0))))</f>
        <v>0</v>
      </c>
      <c r="K5" s="28" t="s">
        <v>152</v>
      </c>
      <c r="L5" s="13">
        <v>1</v>
      </c>
    </row>
    <row r="6" spans="1:16" ht="14.45" customHeight="1" x14ac:dyDescent="0.25">
      <c r="A6" s="4"/>
      <c r="B6" s="167">
        <v>3.2</v>
      </c>
      <c r="C6" s="189" t="s">
        <v>395</v>
      </c>
      <c r="D6" s="167" t="s">
        <v>13</v>
      </c>
      <c r="E6" s="89" t="s">
        <v>14</v>
      </c>
      <c r="F6" s="120"/>
      <c r="G6" s="23"/>
      <c r="K6" s="27"/>
    </row>
    <row r="7" spans="1:16" x14ac:dyDescent="0.25">
      <c r="A7" s="4"/>
      <c r="B7" s="167"/>
      <c r="C7" s="189"/>
      <c r="D7" s="167"/>
      <c r="E7" s="89" t="s">
        <v>417</v>
      </c>
      <c r="F7" s="120"/>
      <c r="G7" s="23"/>
      <c r="H7" s="14" t="s">
        <v>151</v>
      </c>
      <c r="I7" s="14" t="s">
        <v>8</v>
      </c>
      <c r="J7" s="14" t="s">
        <v>9</v>
      </c>
      <c r="K7" s="27"/>
      <c r="L7" s="14" t="s">
        <v>103</v>
      </c>
    </row>
    <row r="8" spans="1:16" ht="30.6" customHeight="1" x14ac:dyDescent="0.25">
      <c r="A8" s="4"/>
      <c r="B8" s="167"/>
      <c r="C8" s="189"/>
      <c r="D8" s="77" t="s">
        <v>15</v>
      </c>
      <c r="E8" s="77"/>
      <c r="F8" s="119"/>
      <c r="G8" s="34"/>
      <c r="H8" s="32" t="s">
        <v>98</v>
      </c>
      <c r="I8" s="24">
        <v>0</v>
      </c>
      <c r="J8" s="24">
        <f t="shared" ref="J8:J13" si="0">IF(I8=1,0,1)</f>
        <v>1</v>
      </c>
      <c r="K8" s="29" t="s">
        <v>126</v>
      </c>
      <c r="L8" s="27">
        <f>$L$5*$J$4*$J$5*J8*$L$4</f>
        <v>0</v>
      </c>
    </row>
    <row r="9" spans="1:16" ht="30.6" customHeight="1" x14ac:dyDescent="0.25">
      <c r="A9" s="4"/>
      <c r="B9" s="167"/>
      <c r="C9" s="189"/>
      <c r="D9" s="84" t="s">
        <v>16</v>
      </c>
      <c r="E9" s="87"/>
      <c r="F9" s="85"/>
      <c r="G9" s="34"/>
      <c r="H9" s="32" t="s">
        <v>97</v>
      </c>
      <c r="I9" s="24">
        <v>0</v>
      </c>
      <c r="J9" s="24">
        <f t="shared" si="0"/>
        <v>1</v>
      </c>
      <c r="K9" s="29" t="s">
        <v>105</v>
      </c>
      <c r="L9" s="27">
        <f t="shared" ref="L9:L16" si="1">$L$5*$J$4*$J$5*J9*$L$4</f>
        <v>0</v>
      </c>
    </row>
    <row r="10" spans="1:16" ht="35.450000000000003" customHeight="1" x14ac:dyDescent="0.25">
      <c r="A10" s="4"/>
      <c r="B10" s="167"/>
      <c r="C10" s="189"/>
      <c r="D10" s="77" t="s">
        <v>17</v>
      </c>
      <c r="E10" s="89"/>
      <c r="F10" s="120"/>
      <c r="G10" s="34"/>
      <c r="H10" s="32" t="s">
        <v>99</v>
      </c>
      <c r="I10" s="24">
        <v>0</v>
      </c>
      <c r="J10" s="24">
        <f t="shared" si="0"/>
        <v>1</v>
      </c>
      <c r="K10" s="29" t="s">
        <v>127</v>
      </c>
      <c r="L10" s="27">
        <f t="shared" si="1"/>
        <v>0</v>
      </c>
    </row>
    <row r="11" spans="1:16" ht="32.450000000000003" customHeight="1" x14ac:dyDescent="0.25">
      <c r="A11" s="4"/>
      <c r="B11" s="167"/>
      <c r="C11" s="189"/>
      <c r="D11" s="77" t="s">
        <v>18</v>
      </c>
      <c r="E11" s="89"/>
      <c r="F11" s="120"/>
      <c r="G11" s="23"/>
      <c r="H11" s="34" t="s">
        <v>106</v>
      </c>
      <c r="I11" s="24">
        <v>0</v>
      </c>
      <c r="J11" s="24">
        <f t="shared" si="0"/>
        <v>1</v>
      </c>
      <c r="K11" s="29" t="s">
        <v>128</v>
      </c>
      <c r="L11" s="27">
        <f>$L$5*$J$4*$J$5*J11*$L$4</f>
        <v>0</v>
      </c>
    </row>
    <row r="12" spans="1:16" ht="33.6" customHeight="1" x14ac:dyDescent="0.25">
      <c r="A12" s="4"/>
      <c r="B12" s="167"/>
      <c r="C12" s="189"/>
      <c r="D12" s="77" t="s">
        <v>19</v>
      </c>
      <c r="E12" s="77"/>
      <c r="F12" s="119"/>
      <c r="G12" s="40"/>
      <c r="H12" s="32" t="s">
        <v>94</v>
      </c>
      <c r="I12" s="33">
        <v>0</v>
      </c>
      <c r="J12" s="24">
        <f t="shared" si="0"/>
        <v>1</v>
      </c>
      <c r="K12" s="29" t="s">
        <v>129</v>
      </c>
      <c r="L12" s="27">
        <f>$L$5*$J$4*$J$5*J12*$L$4</f>
        <v>0</v>
      </c>
    </row>
    <row r="13" spans="1:16" ht="34.9" customHeight="1" x14ac:dyDescent="0.25">
      <c r="A13" s="4"/>
      <c r="B13" s="167"/>
      <c r="C13" s="189"/>
      <c r="D13" s="77" t="s">
        <v>20</v>
      </c>
      <c r="E13" s="89"/>
      <c r="F13" s="120"/>
      <c r="G13" s="34"/>
      <c r="H13" s="32" t="s">
        <v>100</v>
      </c>
      <c r="I13" s="24">
        <v>0</v>
      </c>
      <c r="J13" s="24">
        <f t="shared" si="0"/>
        <v>1</v>
      </c>
      <c r="K13" s="29" t="s">
        <v>130</v>
      </c>
      <c r="L13" s="27">
        <f t="shared" si="1"/>
        <v>0</v>
      </c>
    </row>
    <row r="14" spans="1:16" ht="35.450000000000003" customHeight="1" x14ac:dyDescent="0.25">
      <c r="A14" s="4"/>
      <c r="B14" s="167"/>
      <c r="C14" s="189"/>
      <c r="D14" s="77" t="s">
        <v>21</v>
      </c>
      <c r="E14" s="89"/>
      <c r="F14" s="120"/>
      <c r="G14" s="34"/>
      <c r="H14" s="32" t="s">
        <v>93</v>
      </c>
      <c r="I14" s="24">
        <v>0</v>
      </c>
      <c r="J14" s="24">
        <f>IF(I14=1,0,1)</f>
        <v>1</v>
      </c>
      <c r="K14" s="29" t="s">
        <v>131</v>
      </c>
      <c r="L14" s="27">
        <f t="shared" si="1"/>
        <v>0</v>
      </c>
    </row>
    <row r="15" spans="1:16" ht="37.9" customHeight="1" x14ac:dyDescent="0.25">
      <c r="A15" s="4"/>
      <c r="B15" s="167"/>
      <c r="C15" s="189"/>
      <c r="D15" s="77" t="s">
        <v>22</v>
      </c>
      <c r="E15" s="89"/>
      <c r="F15" s="120"/>
      <c r="G15" s="34"/>
      <c r="H15" s="34" t="s">
        <v>102</v>
      </c>
      <c r="I15" s="35">
        <v>0</v>
      </c>
      <c r="J15" s="24">
        <f>IF(I15=1,0,1)</f>
        <v>1</v>
      </c>
      <c r="K15" s="29" t="s">
        <v>132</v>
      </c>
      <c r="L15" s="27">
        <f t="shared" si="1"/>
        <v>0</v>
      </c>
    </row>
    <row r="16" spans="1:16" ht="37.9" customHeight="1" thickBot="1" x14ac:dyDescent="0.3">
      <c r="A16" s="4"/>
      <c r="B16" s="167"/>
      <c r="C16" s="189"/>
      <c r="D16" s="77" t="s">
        <v>23</v>
      </c>
      <c r="E16" s="89"/>
      <c r="F16" s="120"/>
      <c r="G16" s="34"/>
      <c r="H16" s="34" t="s">
        <v>101</v>
      </c>
      <c r="I16" s="35">
        <v>0</v>
      </c>
      <c r="J16" s="24">
        <f>IF(I16=1,0,1)</f>
        <v>1</v>
      </c>
      <c r="K16" s="29" t="s">
        <v>133</v>
      </c>
      <c r="L16" s="27">
        <f t="shared" si="1"/>
        <v>0</v>
      </c>
      <c r="P16" s="40"/>
    </row>
    <row r="17" spans="1:12" ht="22.15" customHeight="1" thickBot="1" x14ac:dyDescent="0.3">
      <c r="A17" s="4"/>
      <c r="B17" s="74"/>
      <c r="C17" s="59"/>
      <c r="D17" s="59"/>
      <c r="E17" s="64"/>
      <c r="F17" s="64"/>
      <c r="G17" s="34"/>
      <c r="H17" s="33"/>
      <c r="I17" s="35"/>
      <c r="J17" s="36"/>
      <c r="K17" s="29" t="s">
        <v>119</v>
      </c>
      <c r="L17" s="30">
        <f>SUM(L8:L16)</f>
        <v>0</v>
      </c>
    </row>
    <row r="18" spans="1:12" x14ac:dyDescent="0.25">
      <c r="A18" s="4"/>
      <c r="B18" s="64"/>
      <c r="C18" s="59"/>
      <c r="D18" s="59"/>
      <c r="E18" s="59"/>
      <c r="F18" s="59"/>
      <c r="G18" s="23"/>
      <c r="H18" s="121"/>
      <c r="I18" s="121"/>
      <c r="J18" s="23"/>
      <c r="K18" s="23"/>
      <c r="L18" s="23"/>
    </row>
    <row r="19" spans="1:12" x14ac:dyDescent="0.25">
      <c r="A19" s="4"/>
      <c r="B19" s="59"/>
      <c r="C19" s="59"/>
      <c r="D19" s="59"/>
      <c r="E19" s="59"/>
      <c r="F19" s="59"/>
      <c r="G19" s="125"/>
      <c r="H19" s="125"/>
      <c r="I19" s="125"/>
      <c r="J19" s="125"/>
      <c r="K19" s="125"/>
      <c r="L19" s="125"/>
    </row>
    <row r="28" spans="1:12" ht="11.25" hidden="1" customHeight="1" x14ac:dyDescent="0.25"/>
    <row r="38" spans="2:16" s="23" customFormat="1" ht="15.6" hidden="1" customHeight="1" x14ac:dyDescent="0.25">
      <c r="B38" s="27"/>
      <c r="C38" s="13"/>
      <c r="D38" s="13"/>
      <c r="E38" s="13"/>
      <c r="G38" s="13"/>
      <c r="H38" s="27"/>
      <c r="I38" s="27"/>
      <c r="J38" s="13"/>
      <c r="K38" s="13"/>
      <c r="L38" s="13"/>
      <c r="M38" s="13"/>
      <c r="N38" s="13"/>
      <c r="O38" s="13"/>
      <c r="P38" s="13"/>
    </row>
    <row r="107" spans="2:16" s="23" customFormat="1" ht="14.45" hidden="1" customHeight="1" x14ac:dyDescent="0.25">
      <c r="B107" s="27"/>
      <c r="C107" s="13"/>
      <c r="D107" s="13"/>
      <c r="E107" s="13"/>
      <c r="G107" s="13"/>
      <c r="H107" s="27"/>
      <c r="I107" s="27"/>
      <c r="J107" s="13"/>
      <c r="K107" s="13"/>
      <c r="L107" s="13"/>
      <c r="M107" s="13"/>
      <c r="N107" s="13"/>
      <c r="O107" s="13"/>
      <c r="P107" s="13"/>
    </row>
  </sheetData>
  <sheetProtection algorithmName="SHA-512" hashValue="AHC/dCodYHVwPBAKtLPEa8P90b48faPoOj49PNcptS17Kkm2c1iC+/VTblJQu3Ek5RFZLjJNeRuoWzBadl55Dw==" saltValue="VOm8fnLU5oKJe63lng8qzA==" spinCount="100000" sheet="1" objects="1" scenarios="1" selectLockedCells="1"/>
  <mergeCells count="6">
    <mergeCell ref="B3:E3"/>
    <mergeCell ref="D4:E4"/>
    <mergeCell ref="D5:E5"/>
    <mergeCell ref="B6:B16"/>
    <mergeCell ref="C6:C16"/>
    <mergeCell ref="D6:D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_8">
              <controlPr defaultSize="0" autoFill="0" autoLine="0" autoPict="0">
                <anchor moveWithCells="1">
                  <from>
                    <xdr:col>4</xdr:col>
                    <xdr:colOff>352425</xdr:colOff>
                    <xdr:row>7</xdr:row>
                    <xdr:rowOff>95250</xdr:rowOff>
                  </from>
                  <to>
                    <xdr:col>4</xdr:col>
                    <xdr:colOff>571500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_9">
              <controlPr defaultSize="0" autoFill="0" autoLine="0" autoPict="0">
                <anchor moveWithCells="1">
                  <from>
                    <xdr:col>4</xdr:col>
                    <xdr:colOff>819150</xdr:colOff>
                    <xdr:row>7</xdr:row>
                    <xdr:rowOff>95250</xdr:rowOff>
                  </from>
                  <to>
                    <xdr:col>4</xdr:col>
                    <xdr:colOff>1038225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Group Box 3">
              <controlPr defaultSize="0" autoFill="0" autoPict="0">
                <anchor moveWithCells="1">
                  <from>
                    <xdr:col>4</xdr:col>
                    <xdr:colOff>114300</xdr:colOff>
                    <xdr:row>7</xdr:row>
                    <xdr:rowOff>28575</xdr:rowOff>
                  </from>
                  <to>
                    <xdr:col>4</xdr:col>
                    <xdr:colOff>1314450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_10">
              <controlPr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123825</xdr:rowOff>
                  </from>
                  <to>
                    <xdr:col>4</xdr:col>
                    <xdr:colOff>571500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_11">
              <controlPr defaultSize="0" autoFill="0" autoLine="0" autoPict="0">
                <anchor moveWithCells="1">
                  <from>
                    <xdr:col>4</xdr:col>
                    <xdr:colOff>819150</xdr:colOff>
                    <xdr:row>8</xdr:row>
                    <xdr:rowOff>104775</xdr:rowOff>
                  </from>
                  <to>
                    <xdr:col>4</xdr:col>
                    <xdr:colOff>1133475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Group Box 6">
              <controlPr defaultSize="0" autoFill="0" autoPict="0">
                <anchor moveWithCells="1">
                  <from>
                    <xdr:col>4</xdr:col>
                    <xdr:colOff>123825</xdr:colOff>
                    <xdr:row>8</xdr:row>
                    <xdr:rowOff>66675</xdr:rowOff>
                  </from>
                  <to>
                    <xdr:col>4</xdr:col>
                    <xdr:colOff>1304925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0" name="Group Box 16">
              <controlPr defaultSize="0" autoFill="0" autoPict="0">
                <anchor moveWithCells="1">
                  <from>
                    <xdr:col>3</xdr:col>
                    <xdr:colOff>57150</xdr:colOff>
                    <xdr:row>3</xdr:row>
                    <xdr:rowOff>66675</xdr:rowOff>
                  </from>
                  <to>
                    <xdr:col>4</xdr:col>
                    <xdr:colOff>1323975</xdr:colOff>
                    <xdr:row>3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11" name="B_1">
              <controlPr defaultSize="0" autoFill="0" autoLine="0" autoPict="0">
                <anchor moveWithCells="1">
                  <from>
                    <xdr:col>3</xdr:col>
                    <xdr:colOff>85725</xdr:colOff>
                    <xdr:row>3</xdr:row>
                    <xdr:rowOff>171450</xdr:rowOff>
                  </from>
                  <to>
                    <xdr:col>4</xdr:col>
                    <xdr:colOff>638175</xdr:colOff>
                    <xdr:row>3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12" name="B_2">
              <controlPr defaultSize="0" autoFill="0" autoLine="0" autoPict="0">
                <anchor moveWithCells="1">
                  <from>
                    <xdr:col>3</xdr:col>
                    <xdr:colOff>85725</xdr:colOff>
                    <xdr:row>3</xdr:row>
                    <xdr:rowOff>333375</xdr:rowOff>
                  </from>
                  <to>
                    <xdr:col>4</xdr:col>
                    <xdr:colOff>800100</xdr:colOff>
                    <xdr:row>3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13" name="B_3">
              <controlPr defaultSize="0" autoFill="0" autoLine="0" autoPict="0">
                <anchor moveWithCells="1">
                  <from>
                    <xdr:col>3</xdr:col>
                    <xdr:colOff>85725</xdr:colOff>
                    <xdr:row>3</xdr:row>
                    <xdr:rowOff>485775</xdr:rowOff>
                  </from>
                  <to>
                    <xdr:col>4</xdr:col>
                    <xdr:colOff>800100</xdr:colOff>
                    <xdr:row>3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14" name="B_4">
              <controlPr defaultSize="0" autoFill="0" autoLine="0" autoPict="0">
                <anchor moveWithCells="1">
                  <from>
                    <xdr:col>3</xdr:col>
                    <xdr:colOff>85725</xdr:colOff>
                    <xdr:row>3</xdr:row>
                    <xdr:rowOff>647700</xdr:rowOff>
                  </from>
                  <to>
                    <xdr:col>4</xdr:col>
                    <xdr:colOff>952500</xdr:colOff>
                    <xdr:row>3</xdr:row>
                    <xdr:rowOff>866775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15" name="Group Box 21">
              <controlPr defaultSize="0" autoFill="0" autoPict="0">
                <anchor moveWithCells="1">
                  <from>
                    <xdr:col>3</xdr:col>
                    <xdr:colOff>47625</xdr:colOff>
                    <xdr:row>4</xdr:row>
                    <xdr:rowOff>57150</xdr:rowOff>
                  </from>
                  <to>
                    <xdr:col>4</xdr:col>
                    <xdr:colOff>1323975</xdr:colOff>
                    <xdr:row>4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16" name="B_5">
              <controlPr defaultSize="0" autoFill="0" autoLine="0" autoPict="0">
                <anchor moveWithCells="1">
                  <from>
                    <xdr:col>3</xdr:col>
                    <xdr:colOff>76200</xdr:colOff>
                    <xdr:row>4</xdr:row>
                    <xdr:rowOff>171450</xdr:rowOff>
                  </from>
                  <to>
                    <xdr:col>4</xdr:col>
                    <xdr:colOff>1304925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17" name="B_6">
              <controlPr defaultSize="0" autoFill="0" autoLine="0" autoPict="0">
                <anchor moveWithCells="1">
                  <from>
                    <xdr:col>3</xdr:col>
                    <xdr:colOff>76200</xdr:colOff>
                    <xdr:row>4</xdr:row>
                    <xdr:rowOff>352425</xdr:rowOff>
                  </from>
                  <to>
                    <xdr:col>4</xdr:col>
                    <xdr:colOff>1323975</xdr:colOff>
                    <xdr:row>4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18" name="B_7">
              <controlPr defaultSize="0" autoFill="0" autoLine="0" autoPict="0">
                <anchor moveWithCells="1">
                  <from>
                    <xdr:col>3</xdr:col>
                    <xdr:colOff>76200</xdr:colOff>
                    <xdr:row>4</xdr:row>
                    <xdr:rowOff>523875</xdr:rowOff>
                  </from>
                  <to>
                    <xdr:col>4</xdr:col>
                    <xdr:colOff>1247775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19" name="Group Box 25">
              <controlPr defaultSize="0" autoFill="0" autoPict="0">
                <anchor moveWithCells="1">
                  <from>
                    <xdr:col>4</xdr:col>
                    <xdr:colOff>114300</xdr:colOff>
                    <xdr:row>9</xdr:row>
                    <xdr:rowOff>66675</xdr:rowOff>
                  </from>
                  <to>
                    <xdr:col>4</xdr:col>
                    <xdr:colOff>1314450</xdr:colOff>
                    <xdr:row>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0" name="Group Box 26">
              <controlPr defaultSize="0" autoFill="0" autoPict="0">
                <anchor moveWithCells="1">
                  <from>
                    <xdr:col>4</xdr:col>
                    <xdr:colOff>114300</xdr:colOff>
                    <xdr:row>10</xdr:row>
                    <xdr:rowOff>47625</xdr:rowOff>
                  </from>
                  <to>
                    <xdr:col>4</xdr:col>
                    <xdr:colOff>1314450</xdr:colOff>
                    <xdr:row>10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21" name="Group Box 27">
              <controlPr defaultSize="0" autoFill="0" autoPict="0">
                <anchor moveWithCells="1">
                  <from>
                    <xdr:col>4</xdr:col>
                    <xdr:colOff>114300</xdr:colOff>
                    <xdr:row>11</xdr:row>
                    <xdr:rowOff>47625</xdr:rowOff>
                  </from>
                  <to>
                    <xdr:col>4</xdr:col>
                    <xdr:colOff>1314450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22" name="Group Box 28">
              <controlPr defaultSize="0" autoFill="0" autoPict="0">
                <anchor moveWithCells="1">
                  <from>
                    <xdr:col>4</xdr:col>
                    <xdr:colOff>114300</xdr:colOff>
                    <xdr:row>12</xdr:row>
                    <xdr:rowOff>57150</xdr:rowOff>
                  </from>
                  <to>
                    <xdr:col>4</xdr:col>
                    <xdr:colOff>1314450</xdr:colOff>
                    <xdr:row>12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23" name="Group Box 29">
              <controlPr defaultSize="0" autoFill="0" autoPict="0">
                <anchor moveWithCells="1">
                  <from>
                    <xdr:col>4</xdr:col>
                    <xdr:colOff>114300</xdr:colOff>
                    <xdr:row>13</xdr:row>
                    <xdr:rowOff>66675</xdr:rowOff>
                  </from>
                  <to>
                    <xdr:col>4</xdr:col>
                    <xdr:colOff>1314450</xdr:colOff>
                    <xdr:row>13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24" name="Group Box 30">
              <controlPr defaultSize="0" autoFill="0" autoPict="0">
                <anchor moveWithCells="1">
                  <from>
                    <xdr:col>4</xdr:col>
                    <xdr:colOff>114300</xdr:colOff>
                    <xdr:row>14</xdr:row>
                    <xdr:rowOff>76200</xdr:rowOff>
                  </from>
                  <to>
                    <xdr:col>4</xdr:col>
                    <xdr:colOff>1314450</xdr:colOff>
                    <xdr:row>14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25" name="B_12">
              <controlPr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133350</xdr:rowOff>
                  </from>
                  <to>
                    <xdr:col>4</xdr:col>
                    <xdr:colOff>704850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26" name="B_13">
              <controlPr defaultSize="0" autoFill="0" autoLine="0" autoPict="0">
                <anchor moveWithCells="1">
                  <from>
                    <xdr:col>4</xdr:col>
                    <xdr:colOff>828675</xdr:colOff>
                    <xdr:row>9</xdr:row>
                    <xdr:rowOff>133350</xdr:rowOff>
                  </from>
                  <to>
                    <xdr:col>4</xdr:col>
                    <xdr:colOff>1200150</xdr:colOff>
                    <xdr:row>9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27" name="B_14">
              <controlPr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114300</xdr:rowOff>
                  </from>
                  <to>
                    <xdr:col>4</xdr:col>
                    <xdr:colOff>676275</xdr:colOff>
                    <xdr:row>10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28" name="B_15">
              <controlPr defaultSize="0" autoFill="0" autoLine="0" autoPict="0">
                <anchor moveWithCells="1">
                  <from>
                    <xdr:col>4</xdr:col>
                    <xdr:colOff>838200</xdr:colOff>
                    <xdr:row>10</xdr:row>
                    <xdr:rowOff>114300</xdr:rowOff>
                  </from>
                  <to>
                    <xdr:col>4</xdr:col>
                    <xdr:colOff>1200150</xdr:colOff>
                    <xdr:row>10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29" name="B_16">
              <controlPr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104775</xdr:rowOff>
                  </from>
                  <to>
                    <xdr:col>4</xdr:col>
                    <xdr:colOff>609600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0" name="B_17">
              <controlPr defaultSize="0" autoFill="0" autoLine="0" autoPict="0">
                <anchor moveWithCells="1">
                  <from>
                    <xdr:col>4</xdr:col>
                    <xdr:colOff>847725</xdr:colOff>
                    <xdr:row>11</xdr:row>
                    <xdr:rowOff>114300</xdr:rowOff>
                  </from>
                  <to>
                    <xdr:col>4</xdr:col>
                    <xdr:colOff>1085850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31" name="B_18">
              <controlPr defaultSize="0" autoFill="0" autoLine="0" autoPict="0">
                <anchor moveWithCells="1">
                  <from>
                    <xdr:col>4</xdr:col>
                    <xdr:colOff>371475</xdr:colOff>
                    <xdr:row>12</xdr:row>
                    <xdr:rowOff>133350</xdr:rowOff>
                  </from>
                  <to>
                    <xdr:col>4</xdr:col>
                    <xdr:colOff>657225</xdr:colOff>
                    <xdr:row>12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32" name="B_19">
              <controlPr defaultSize="0" autoFill="0" autoLine="0" autoPict="0">
                <anchor moveWithCells="1">
                  <from>
                    <xdr:col>4</xdr:col>
                    <xdr:colOff>847725</xdr:colOff>
                    <xdr:row>12</xdr:row>
                    <xdr:rowOff>133350</xdr:rowOff>
                  </from>
                  <to>
                    <xdr:col>4</xdr:col>
                    <xdr:colOff>1114425</xdr:colOff>
                    <xdr:row>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33" name="B_20">
              <controlPr defaultSize="0" autoFill="0" autoLine="0" autoPict="0">
                <anchor moveWithCells="1">
                  <from>
                    <xdr:col>4</xdr:col>
                    <xdr:colOff>381000</xdr:colOff>
                    <xdr:row>13</xdr:row>
                    <xdr:rowOff>123825</xdr:rowOff>
                  </from>
                  <to>
                    <xdr:col>4</xdr:col>
                    <xdr:colOff>657225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34" name="B_21">
              <controlPr defaultSize="0" autoFill="0" autoLine="0" autoPict="0">
                <anchor moveWithCells="1">
                  <from>
                    <xdr:col>4</xdr:col>
                    <xdr:colOff>857250</xdr:colOff>
                    <xdr:row>13</xdr:row>
                    <xdr:rowOff>123825</xdr:rowOff>
                  </from>
                  <to>
                    <xdr:col>4</xdr:col>
                    <xdr:colOff>1171575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35" name="B_22">
              <controlPr defaultSize="0" autoFill="0" autoLine="0" autoPict="0">
                <anchor moveWithCells="1">
                  <from>
                    <xdr:col>4</xdr:col>
                    <xdr:colOff>381000</xdr:colOff>
                    <xdr:row>14</xdr:row>
                    <xdr:rowOff>133350</xdr:rowOff>
                  </from>
                  <to>
                    <xdr:col>4</xdr:col>
                    <xdr:colOff>676275</xdr:colOff>
                    <xdr:row>14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36" name="B_23">
              <controlPr defaultSize="0" autoFill="0" autoLine="0" autoPict="0">
                <anchor moveWithCells="1">
                  <from>
                    <xdr:col>4</xdr:col>
                    <xdr:colOff>857250</xdr:colOff>
                    <xdr:row>14</xdr:row>
                    <xdr:rowOff>133350</xdr:rowOff>
                  </from>
                  <to>
                    <xdr:col>4</xdr:col>
                    <xdr:colOff>1209675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37" name="Group Box 43">
              <controlPr defaultSize="0" autoFill="0" autoPict="0">
                <anchor moveWithCells="1">
                  <from>
                    <xdr:col>4</xdr:col>
                    <xdr:colOff>114300</xdr:colOff>
                    <xdr:row>15</xdr:row>
                    <xdr:rowOff>57150</xdr:rowOff>
                  </from>
                  <to>
                    <xdr:col>4</xdr:col>
                    <xdr:colOff>1314450</xdr:colOff>
                    <xdr:row>15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38" name="B_24">
              <controlPr defaultSize="0" autoFill="0" autoLine="0" autoPict="0">
                <anchor moveWithCells="1">
                  <from>
                    <xdr:col>4</xdr:col>
                    <xdr:colOff>381000</xdr:colOff>
                    <xdr:row>15</xdr:row>
                    <xdr:rowOff>104775</xdr:rowOff>
                  </from>
                  <to>
                    <xdr:col>4</xdr:col>
                    <xdr:colOff>676275</xdr:colOff>
                    <xdr:row>15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39" name="B_25">
              <controlPr defaultSize="0" autoFill="0" autoLine="0" autoPict="0">
                <anchor moveWithCells="1">
                  <from>
                    <xdr:col>4</xdr:col>
                    <xdr:colOff>857250</xdr:colOff>
                    <xdr:row>15</xdr:row>
                    <xdr:rowOff>104775</xdr:rowOff>
                  </from>
                  <to>
                    <xdr:col>4</xdr:col>
                    <xdr:colOff>1209675</xdr:colOff>
                    <xdr:row>15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0" name="B_46">
              <controlPr defaultSize="0" autoFill="0" autoLine="0" autoPict="0">
                <anchor moveWithCells="1">
                  <from>
                    <xdr:col>4</xdr:col>
                    <xdr:colOff>704850</xdr:colOff>
                    <xdr:row>4</xdr:row>
                    <xdr:rowOff>57150</xdr:rowOff>
                  </from>
                  <to>
                    <xdr:col>4</xdr:col>
                    <xdr:colOff>1152525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XFC35"/>
  <sheetViews>
    <sheetView showGridLines="0" showRowColHeaders="0" zoomScaleNormal="100" workbookViewId="0">
      <selection activeCell="B3" sqref="B3:K3"/>
    </sheetView>
  </sheetViews>
  <sheetFormatPr baseColWidth="10" defaultColWidth="0" defaultRowHeight="15" zeroHeight="1" x14ac:dyDescent="0.25"/>
  <cols>
    <col min="1" max="1" width="20.7109375" customWidth="1"/>
    <col min="2" max="2" width="10.7109375" customWidth="1"/>
    <col min="3" max="4" width="11.5703125" customWidth="1"/>
    <col min="5" max="6" width="12" customWidth="1"/>
    <col min="7" max="7" width="13.140625" customWidth="1"/>
    <col min="8" max="8" width="11.85546875" customWidth="1"/>
    <col min="9" max="9" width="12.28515625" customWidth="1"/>
    <col min="10" max="10" width="10.42578125" customWidth="1"/>
    <col min="11" max="11" width="12.7109375" customWidth="1"/>
    <col min="12" max="12" width="12.7109375" style="4" customWidth="1"/>
    <col min="13" max="13" width="10.7109375" style="23" hidden="1" customWidth="1"/>
    <col min="14" max="14" width="11.5703125" style="13" hidden="1" customWidth="1"/>
    <col min="15" max="20" width="11.5703125" style="13" hidden="1"/>
    <col min="21" max="21" width="7.7109375" style="13" hidden="1"/>
    <col min="22" max="16383" width="11.5703125" style="13" hidden="1"/>
    <col min="16384" max="16384" width="4" style="13" hidden="1" customWidth="1"/>
  </cols>
  <sheetData>
    <row r="1" spans="1:21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</row>
    <row r="2" spans="1:2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</row>
    <row r="3" spans="1:21" ht="15" customHeight="1" x14ac:dyDescent="0.25">
      <c r="A3" s="4"/>
      <c r="B3" s="199" t="s">
        <v>414</v>
      </c>
      <c r="C3" s="200"/>
      <c r="D3" s="200"/>
      <c r="E3" s="200"/>
      <c r="F3" s="200"/>
      <c r="G3" s="200"/>
      <c r="H3" s="200"/>
      <c r="I3" s="200"/>
      <c r="J3" s="200"/>
      <c r="K3" s="201"/>
      <c r="L3" s="143"/>
      <c r="T3" s="28" t="s">
        <v>88</v>
      </c>
      <c r="U3" s="13">
        <f>'5. Agente'!H28</f>
        <v>0</v>
      </c>
    </row>
    <row r="4" spans="1:21" ht="24" customHeight="1" x14ac:dyDescent="0.25">
      <c r="A4" s="4"/>
      <c r="B4" s="89">
        <v>4</v>
      </c>
      <c r="C4" s="169" t="s">
        <v>396</v>
      </c>
      <c r="D4" s="197"/>
      <c r="E4" s="197"/>
      <c r="F4" s="197"/>
      <c r="G4" s="198"/>
      <c r="H4" s="175" t="s">
        <v>29</v>
      </c>
      <c r="I4" s="175"/>
      <c r="J4" s="175"/>
      <c r="K4" s="175"/>
      <c r="L4" s="119"/>
      <c r="T4" s="28" t="s">
        <v>167</v>
      </c>
      <c r="U4" s="13">
        <v>1</v>
      </c>
    </row>
    <row r="5" spans="1:21" ht="45" customHeight="1" x14ac:dyDescent="0.25">
      <c r="A5" s="4"/>
      <c r="B5" s="192">
        <v>4.0999999999999996</v>
      </c>
      <c r="C5" s="89" t="s">
        <v>38</v>
      </c>
      <c r="D5" s="98" t="s">
        <v>40</v>
      </c>
      <c r="E5" s="98" t="s">
        <v>39</v>
      </c>
      <c r="F5" s="106" t="s">
        <v>41</v>
      </c>
      <c r="G5" s="98" t="s">
        <v>405</v>
      </c>
      <c r="H5" s="98" t="s">
        <v>418</v>
      </c>
      <c r="I5" s="98" t="s">
        <v>397</v>
      </c>
      <c r="J5" s="98" t="s">
        <v>43</v>
      </c>
      <c r="K5" s="98" t="s">
        <v>404</v>
      </c>
      <c r="L5" s="144"/>
      <c r="O5" s="14" t="s">
        <v>44</v>
      </c>
      <c r="P5" s="38" t="s">
        <v>153</v>
      </c>
      <c r="Q5" s="38" t="s">
        <v>154</v>
      </c>
      <c r="R5" s="38" t="s">
        <v>155</v>
      </c>
      <c r="S5" s="38" t="s">
        <v>156</v>
      </c>
      <c r="T5" s="27"/>
      <c r="U5" s="38" t="s">
        <v>108</v>
      </c>
    </row>
    <row r="6" spans="1:21" ht="35.450000000000003" customHeight="1" x14ac:dyDescent="0.25">
      <c r="A6" s="4"/>
      <c r="B6" s="193"/>
      <c r="C6" s="115" t="s">
        <v>30</v>
      </c>
      <c r="D6" s="94"/>
      <c r="E6" s="116"/>
      <c r="F6" s="116"/>
      <c r="G6" s="116"/>
      <c r="H6" s="94"/>
      <c r="I6" s="116"/>
      <c r="J6" s="116"/>
      <c r="K6" s="99"/>
      <c r="L6" s="119"/>
      <c r="O6" s="39" t="s">
        <v>30</v>
      </c>
      <c r="P6" s="27">
        <v>0</v>
      </c>
      <c r="Q6" s="27" t="b">
        <f>IF(P6=1,0,IF(P6=2,1,IF(P6=3,3,IF(P6=4,10))))</f>
        <v>0</v>
      </c>
      <c r="R6" s="27">
        <v>0</v>
      </c>
      <c r="S6" s="27" t="b">
        <f>IF(R6=1,0,IF(R6=2,1,IF(R6=3,3,IF(R6=4,10))))</f>
        <v>0</v>
      </c>
      <c r="T6" s="27" t="s">
        <v>157</v>
      </c>
      <c r="U6" s="27">
        <f>$U$4*Q6*S6*$U$3</f>
        <v>0</v>
      </c>
    </row>
    <row r="7" spans="1:21" ht="37.15" customHeight="1" x14ac:dyDescent="0.25">
      <c r="A7" s="4"/>
      <c r="B7" s="193"/>
      <c r="C7" s="115" t="s">
        <v>31</v>
      </c>
      <c r="D7" s="94"/>
      <c r="E7" s="116"/>
      <c r="F7" s="116"/>
      <c r="G7" s="116"/>
      <c r="H7" s="94"/>
      <c r="I7" s="116"/>
      <c r="J7" s="116"/>
      <c r="K7" s="99"/>
      <c r="L7" s="119"/>
      <c r="O7" s="39" t="s">
        <v>31</v>
      </c>
      <c r="P7" s="27">
        <v>0</v>
      </c>
      <c r="Q7" s="27" t="b">
        <f>IF(P7=1,0,IF(P7=2,1,IF(P7=3,3,IF(P7=4,10))))</f>
        <v>0</v>
      </c>
      <c r="R7" s="27">
        <v>0</v>
      </c>
      <c r="S7" s="27" t="b">
        <f>IF(R7=1,0,IF(R7=2,1,IF(R7=3,3,IF(R7=4,10))))</f>
        <v>0</v>
      </c>
      <c r="T7" s="27" t="s">
        <v>158</v>
      </c>
      <c r="U7" s="27">
        <f>$U$4*Q7*S7*$U$3</f>
        <v>0</v>
      </c>
    </row>
    <row r="8" spans="1:21" ht="39" customHeight="1" x14ac:dyDescent="0.25">
      <c r="A8" s="4"/>
      <c r="B8" s="193"/>
      <c r="C8" s="115" t="s">
        <v>32</v>
      </c>
      <c r="D8" s="94"/>
      <c r="E8" s="116"/>
      <c r="F8" s="116"/>
      <c r="G8" s="116"/>
      <c r="H8" s="94"/>
      <c r="I8" s="116"/>
      <c r="J8" s="116"/>
      <c r="K8" s="99"/>
      <c r="L8" s="119"/>
      <c r="O8" s="39" t="s">
        <v>32</v>
      </c>
      <c r="P8" s="27">
        <v>0</v>
      </c>
      <c r="Q8" s="27" t="b">
        <f>IF(P8=1,0,IF(P8=2,1,IF(P8=3,3,IF(P8=4,10))))</f>
        <v>0</v>
      </c>
      <c r="R8" s="27">
        <v>0</v>
      </c>
      <c r="S8" s="27" t="b">
        <f>IF(R8=1,0,IF(R8=2,1,IF(R8=3,3,IF(R8=4,10))))</f>
        <v>0</v>
      </c>
      <c r="T8" s="27" t="s">
        <v>159</v>
      </c>
      <c r="U8" s="27">
        <f>$U$4*Q8*S8*$U$3</f>
        <v>0</v>
      </c>
    </row>
    <row r="9" spans="1:21" ht="38.450000000000003" customHeight="1" x14ac:dyDescent="0.25">
      <c r="A9" s="4"/>
      <c r="B9" s="193"/>
      <c r="C9" s="115" t="s">
        <v>33</v>
      </c>
      <c r="D9" s="94"/>
      <c r="E9" s="116"/>
      <c r="F9" s="116"/>
      <c r="G9" s="116"/>
      <c r="H9" s="94"/>
      <c r="I9" s="116"/>
      <c r="J9" s="116"/>
      <c r="K9" s="99"/>
      <c r="L9" s="119"/>
      <c r="O9" s="39" t="s">
        <v>33</v>
      </c>
      <c r="P9" s="27">
        <v>0</v>
      </c>
      <c r="Q9" s="27" t="b">
        <f>IF(P9=1,0,IF(P9=2,1,IF(P9=3,3,IF(P9=4,10))))</f>
        <v>0</v>
      </c>
      <c r="R9" s="27">
        <v>0</v>
      </c>
      <c r="S9" s="27" t="b">
        <f>IF(R9=1,0,IF(R9=2,1,IF(R9=3,3,IF(R9=4,10))))</f>
        <v>0</v>
      </c>
      <c r="T9" s="27" t="s">
        <v>160</v>
      </c>
      <c r="U9" s="27">
        <f>$U$4*Q9*S9*$U$3</f>
        <v>0</v>
      </c>
    </row>
    <row r="10" spans="1:21" ht="43.9" customHeight="1" x14ac:dyDescent="0.25">
      <c r="A10" s="4"/>
      <c r="B10" s="194"/>
      <c r="C10" s="115" t="s">
        <v>34</v>
      </c>
      <c r="D10" s="115"/>
      <c r="E10" s="117"/>
      <c r="F10" s="117"/>
      <c r="G10" s="117"/>
      <c r="H10" s="115"/>
      <c r="I10" s="117"/>
      <c r="J10" s="117"/>
      <c r="K10" s="100"/>
      <c r="L10" s="119"/>
      <c r="O10" s="39" t="s">
        <v>34</v>
      </c>
      <c r="P10" s="27">
        <v>0</v>
      </c>
      <c r="Q10" s="27" t="b">
        <f>IF(P10=1,0,IF(P10=2,1,IF(P10=3,3,IF(P10=4,10))))</f>
        <v>0</v>
      </c>
      <c r="R10" s="27">
        <v>0</v>
      </c>
      <c r="S10" s="27" t="b">
        <f>IF(R10=1,0,IF(R10=2,1,IF(R10=3,3,IF(R10=4,10))))</f>
        <v>0</v>
      </c>
      <c r="T10" s="27" t="s">
        <v>161</v>
      </c>
      <c r="U10" s="27">
        <f>$U$4*Q10*S10*$U$3</f>
        <v>0</v>
      </c>
    </row>
    <row r="11" spans="1:21" ht="24" customHeight="1" x14ac:dyDescent="0.25">
      <c r="A11" s="4"/>
      <c r="B11" s="89">
        <v>5</v>
      </c>
      <c r="C11" s="169" t="s">
        <v>406</v>
      </c>
      <c r="D11" s="197"/>
      <c r="E11" s="197"/>
      <c r="F11" s="197"/>
      <c r="G11" s="198"/>
      <c r="H11" s="189" t="s">
        <v>29</v>
      </c>
      <c r="I11" s="189"/>
      <c r="J11" s="189"/>
      <c r="K11" s="189"/>
      <c r="L11" s="145"/>
      <c r="M11" s="146"/>
    </row>
    <row r="12" spans="1:21" ht="44.45" customHeight="1" x14ac:dyDescent="0.25">
      <c r="A12" s="4"/>
      <c r="B12" s="192">
        <v>5.0999999999999996</v>
      </c>
      <c r="C12" s="89" t="s">
        <v>38</v>
      </c>
      <c r="D12" s="98" t="s">
        <v>40</v>
      </c>
      <c r="E12" s="98" t="s">
        <v>39</v>
      </c>
      <c r="F12" s="106" t="s">
        <v>41</v>
      </c>
      <c r="G12" s="98" t="s">
        <v>405</v>
      </c>
      <c r="H12" s="98" t="s">
        <v>418</v>
      </c>
      <c r="I12" s="98" t="s">
        <v>42</v>
      </c>
      <c r="J12" s="98" t="s">
        <v>43</v>
      </c>
      <c r="K12" s="98" t="s">
        <v>404</v>
      </c>
      <c r="L12" s="144"/>
      <c r="O12" s="28" t="s">
        <v>44</v>
      </c>
      <c r="P12" s="38" t="s">
        <v>45</v>
      </c>
      <c r="Q12" s="38" t="s">
        <v>154</v>
      </c>
      <c r="R12" s="38" t="s">
        <v>46</v>
      </c>
      <c r="S12" s="38" t="s">
        <v>156</v>
      </c>
      <c r="U12" s="38" t="s">
        <v>108</v>
      </c>
    </row>
    <row r="13" spans="1:21" ht="35.450000000000003" customHeight="1" x14ac:dyDescent="0.25">
      <c r="A13" s="4"/>
      <c r="B13" s="193"/>
      <c r="C13" s="115" t="s">
        <v>30</v>
      </c>
      <c r="D13" s="94"/>
      <c r="E13" s="195"/>
      <c r="F13" s="195"/>
      <c r="G13" s="99"/>
      <c r="H13" s="116"/>
      <c r="I13" s="116"/>
      <c r="J13" s="116"/>
      <c r="K13" s="99"/>
      <c r="L13" s="119"/>
      <c r="O13" s="16" t="s">
        <v>30</v>
      </c>
      <c r="P13" s="27">
        <v>0</v>
      </c>
      <c r="Q13" s="27" t="b">
        <f>IF(P13=1,0,IF(P13=2,1,IF(P13=3,3,IF(P13=4,10))))</f>
        <v>0</v>
      </c>
      <c r="R13" s="27">
        <v>0</v>
      </c>
      <c r="S13" s="27" t="b">
        <f>IF(R13=1,0,IF(R13=2,1,IF(R13=3,3,IF(R13=4,10))))</f>
        <v>0</v>
      </c>
      <c r="T13" s="13" t="s">
        <v>162</v>
      </c>
      <c r="U13" s="27">
        <f>$U$4*Q13*S13*$U$3</f>
        <v>0</v>
      </c>
    </row>
    <row r="14" spans="1:21" ht="35.450000000000003" customHeight="1" x14ac:dyDescent="0.25">
      <c r="A14" s="4"/>
      <c r="B14" s="193"/>
      <c r="C14" s="115" t="s">
        <v>31</v>
      </c>
      <c r="D14" s="94"/>
      <c r="E14" s="195"/>
      <c r="F14" s="195"/>
      <c r="G14" s="99"/>
      <c r="H14" s="116"/>
      <c r="I14" s="116"/>
      <c r="J14" s="116"/>
      <c r="K14" s="99"/>
      <c r="L14" s="119"/>
      <c r="O14" s="16" t="s">
        <v>31</v>
      </c>
      <c r="P14" s="27">
        <v>0</v>
      </c>
      <c r="Q14" s="27" t="b">
        <f>IF(P14=1,0,IF(P14=2,1,IF(P14=3,3,IF(P14=4,10))))</f>
        <v>0</v>
      </c>
      <c r="R14" s="27">
        <v>0</v>
      </c>
      <c r="S14" s="27" t="b">
        <f>IF(R14=1,0,IF(R14=2,1,IF(R14=3,3,IF(R14=4,10))))</f>
        <v>0</v>
      </c>
      <c r="T14" s="13" t="s">
        <v>163</v>
      </c>
      <c r="U14" s="27">
        <f>$U$4*Q14*S14*$U$3</f>
        <v>0</v>
      </c>
    </row>
    <row r="15" spans="1:21" ht="35.450000000000003" customHeight="1" x14ac:dyDescent="0.25">
      <c r="A15" s="4"/>
      <c r="B15" s="193"/>
      <c r="C15" s="115" t="s">
        <v>32</v>
      </c>
      <c r="D15" s="94"/>
      <c r="E15" s="195"/>
      <c r="F15" s="195"/>
      <c r="G15" s="99"/>
      <c r="H15" s="116"/>
      <c r="I15" s="116"/>
      <c r="J15" s="116"/>
      <c r="K15" s="99"/>
      <c r="L15" s="119"/>
      <c r="O15" s="16" t="s">
        <v>32</v>
      </c>
      <c r="P15" s="27">
        <v>0</v>
      </c>
      <c r="Q15" s="27" t="b">
        <f>IF(P15=1,0,IF(P15=2,1,IF(P15=3,3,IF(P15=4,10))))</f>
        <v>0</v>
      </c>
      <c r="R15" s="27">
        <v>0</v>
      </c>
      <c r="S15" s="27" t="b">
        <f>IF(R15=1,0,IF(R15=2,1,IF(R15=3,3,IF(R15=4,10))))</f>
        <v>0</v>
      </c>
      <c r="T15" s="13" t="s">
        <v>164</v>
      </c>
      <c r="U15" s="27">
        <f>$U$4*Q15*S15*$U$3</f>
        <v>0</v>
      </c>
    </row>
    <row r="16" spans="1:21" ht="35.450000000000003" customHeight="1" x14ac:dyDescent="0.25">
      <c r="A16" s="4"/>
      <c r="B16" s="193"/>
      <c r="C16" s="115" t="s">
        <v>33</v>
      </c>
      <c r="D16" s="94"/>
      <c r="E16" s="195"/>
      <c r="F16" s="195"/>
      <c r="G16" s="99"/>
      <c r="H16" s="116"/>
      <c r="I16" s="116"/>
      <c r="J16" s="116"/>
      <c r="K16" s="99"/>
      <c r="L16" s="119"/>
      <c r="O16" s="16" t="s">
        <v>33</v>
      </c>
      <c r="P16" s="27">
        <v>0</v>
      </c>
      <c r="Q16" s="27" t="b">
        <f>IF(P16=1,0,IF(P16=2,1,IF(P16=3,3,IF(P16=4,10))))</f>
        <v>0</v>
      </c>
      <c r="R16" s="27">
        <v>0</v>
      </c>
      <c r="S16" s="27" t="b">
        <f>IF(R16=1,0,IF(R16=2,1,IF(R16=3,3,IF(R16=4,10))))</f>
        <v>0</v>
      </c>
      <c r="T16" s="13" t="s">
        <v>165</v>
      </c>
      <c r="U16" s="27">
        <f>$U$4*Q16*S16*$U$3</f>
        <v>0</v>
      </c>
    </row>
    <row r="17" spans="1:21" ht="35.450000000000003" customHeight="1" x14ac:dyDescent="0.25">
      <c r="A17" s="4"/>
      <c r="B17" s="194"/>
      <c r="C17" s="115" t="s">
        <v>34</v>
      </c>
      <c r="D17" s="115"/>
      <c r="E17" s="196"/>
      <c r="F17" s="196"/>
      <c r="G17" s="100"/>
      <c r="H17" s="117"/>
      <c r="I17" s="117"/>
      <c r="J17" s="117"/>
      <c r="K17" s="100"/>
      <c r="L17" s="119"/>
      <c r="O17" s="16" t="s">
        <v>34</v>
      </c>
      <c r="P17" s="27">
        <v>0</v>
      </c>
      <c r="Q17" s="27" t="b">
        <f>IF(P17=1,0,IF(P17=2,1,IF(P17=3,3,IF(P17=4,10))))</f>
        <v>0</v>
      </c>
      <c r="R17" s="27">
        <v>0</v>
      </c>
      <c r="S17" s="27" t="b">
        <f>IF(R17=1,0,IF(R17=2,1,IF(R17=3,3,IF(R17=4,10))))</f>
        <v>0</v>
      </c>
      <c r="T17" s="13" t="s">
        <v>166</v>
      </c>
      <c r="U17" s="27">
        <f>$U$4*Q17*S17*$U$3</f>
        <v>0</v>
      </c>
    </row>
    <row r="18" spans="1:21" ht="14.45" customHeight="1" x14ac:dyDescent="0.25">
      <c r="A18" s="4"/>
      <c r="B18" s="167">
        <v>5.2</v>
      </c>
      <c r="C18" s="189" t="s">
        <v>415</v>
      </c>
      <c r="D18" s="189"/>
      <c r="E18" s="189"/>
      <c r="F18" s="167" t="s">
        <v>36</v>
      </c>
      <c r="G18" s="167"/>
      <c r="H18" s="167" t="s">
        <v>37</v>
      </c>
      <c r="I18" s="167"/>
      <c r="J18" s="167"/>
      <c r="K18" s="167"/>
      <c r="L18" s="120"/>
    </row>
    <row r="19" spans="1:21" ht="15" customHeight="1" x14ac:dyDescent="0.25">
      <c r="A19" s="4"/>
      <c r="B19" s="167"/>
      <c r="C19" s="189"/>
      <c r="D19" s="189"/>
      <c r="E19" s="189"/>
      <c r="F19" s="167"/>
      <c r="G19" s="167"/>
      <c r="H19" s="192" t="s">
        <v>419</v>
      </c>
      <c r="I19" s="192"/>
      <c r="J19" s="192" t="s">
        <v>81</v>
      </c>
      <c r="K19" s="192"/>
      <c r="L19" s="120"/>
      <c r="O19" s="38" t="s">
        <v>47</v>
      </c>
      <c r="P19" s="14" t="s">
        <v>8</v>
      </c>
      <c r="Q19" s="14" t="s">
        <v>9</v>
      </c>
      <c r="S19" s="38" t="s">
        <v>108</v>
      </c>
    </row>
    <row r="20" spans="1:21" ht="30.6" customHeight="1" x14ac:dyDescent="0.25">
      <c r="A20" s="4"/>
      <c r="B20" s="167"/>
      <c r="C20" s="189"/>
      <c r="D20" s="189"/>
      <c r="E20" s="189"/>
      <c r="F20" s="189" t="s">
        <v>15</v>
      </c>
      <c r="G20" s="169"/>
      <c r="H20" s="176"/>
      <c r="I20" s="190"/>
      <c r="J20" s="190"/>
      <c r="K20" s="191"/>
      <c r="L20" s="120"/>
      <c r="O20" s="16" t="s">
        <v>15</v>
      </c>
      <c r="P20" s="16">
        <v>0</v>
      </c>
      <c r="Q20" s="40">
        <f t="shared" ref="Q20:Q27" si="0">IF(P20=1,0,1)</f>
        <v>1</v>
      </c>
      <c r="R20" s="14" t="s">
        <v>110</v>
      </c>
      <c r="S20" s="27" t="e">
        <f>#REF!*Q20</f>
        <v>#REF!</v>
      </c>
    </row>
    <row r="21" spans="1:21" ht="30.6" customHeight="1" x14ac:dyDescent="0.25">
      <c r="A21" s="4"/>
      <c r="B21" s="167"/>
      <c r="C21" s="189"/>
      <c r="D21" s="189"/>
      <c r="E21" s="189"/>
      <c r="F21" s="189" t="s">
        <v>16</v>
      </c>
      <c r="G21" s="169"/>
      <c r="H21" s="176"/>
      <c r="I21" s="190"/>
      <c r="J21" s="190"/>
      <c r="K21" s="191"/>
      <c r="L21" s="120"/>
      <c r="O21" s="16" t="s">
        <v>16</v>
      </c>
      <c r="P21" s="16">
        <v>0</v>
      </c>
      <c r="Q21" s="40">
        <f t="shared" si="0"/>
        <v>1</v>
      </c>
      <c r="R21" s="14" t="s">
        <v>116</v>
      </c>
      <c r="S21" s="27" t="e">
        <f>#REF!*Q21</f>
        <v>#REF!</v>
      </c>
    </row>
    <row r="22" spans="1:21" ht="30.6" customHeight="1" x14ac:dyDescent="0.25">
      <c r="A22" s="4"/>
      <c r="B22" s="167"/>
      <c r="C22" s="189"/>
      <c r="D22" s="189"/>
      <c r="E22" s="189"/>
      <c r="F22" s="189" t="s">
        <v>17</v>
      </c>
      <c r="G22" s="169"/>
      <c r="H22" s="101"/>
      <c r="I22" s="117"/>
      <c r="J22" s="117"/>
      <c r="K22" s="100"/>
      <c r="L22" s="119"/>
      <c r="O22" s="16" t="s">
        <v>17</v>
      </c>
      <c r="P22" s="16">
        <v>0</v>
      </c>
      <c r="Q22" s="40">
        <f t="shared" si="0"/>
        <v>1</v>
      </c>
      <c r="R22" s="14" t="s">
        <v>117</v>
      </c>
      <c r="S22" s="27" t="e">
        <f>#REF!*Q22</f>
        <v>#REF!</v>
      </c>
    </row>
    <row r="23" spans="1:21" ht="33.6" customHeight="1" x14ac:dyDescent="0.25">
      <c r="A23" s="4"/>
      <c r="B23" s="167"/>
      <c r="C23" s="189"/>
      <c r="D23" s="189"/>
      <c r="E23" s="189"/>
      <c r="F23" s="189" t="s">
        <v>19</v>
      </c>
      <c r="G23" s="169"/>
      <c r="H23" s="102"/>
      <c r="I23" s="96"/>
      <c r="J23" s="96"/>
      <c r="K23" s="103"/>
      <c r="L23" s="119"/>
      <c r="O23" s="16" t="s">
        <v>19</v>
      </c>
      <c r="P23" s="16">
        <v>0</v>
      </c>
      <c r="Q23" s="40">
        <f t="shared" si="0"/>
        <v>1</v>
      </c>
      <c r="R23" s="14" t="s">
        <v>115</v>
      </c>
      <c r="S23" s="27" t="e">
        <f>#REF!*Q23</f>
        <v>#REF!</v>
      </c>
    </row>
    <row r="24" spans="1:21" ht="30.6" customHeight="1" x14ac:dyDescent="0.25">
      <c r="A24" s="4"/>
      <c r="B24" s="167"/>
      <c r="C24" s="189"/>
      <c r="D24" s="189"/>
      <c r="E24" s="189"/>
      <c r="F24" s="189" t="s">
        <v>20</v>
      </c>
      <c r="G24" s="169"/>
      <c r="H24" s="101"/>
      <c r="I24" s="117"/>
      <c r="J24" s="117"/>
      <c r="K24" s="100"/>
      <c r="L24" s="119"/>
      <c r="O24" s="16" t="s">
        <v>20</v>
      </c>
      <c r="P24" s="16">
        <v>0</v>
      </c>
      <c r="Q24" s="40">
        <f t="shared" si="0"/>
        <v>1</v>
      </c>
      <c r="R24" s="14" t="s">
        <v>114</v>
      </c>
      <c r="S24" s="27" t="e">
        <f>#REF!*Q24</f>
        <v>#REF!</v>
      </c>
    </row>
    <row r="25" spans="1:21" ht="30.6" customHeight="1" x14ac:dyDescent="0.25">
      <c r="A25" s="4"/>
      <c r="B25" s="167"/>
      <c r="C25" s="189"/>
      <c r="D25" s="189"/>
      <c r="E25" s="189"/>
      <c r="F25" s="189" t="s">
        <v>21</v>
      </c>
      <c r="G25" s="169"/>
      <c r="H25" s="101"/>
      <c r="I25" s="117"/>
      <c r="J25" s="117"/>
      <c r="K25" s="100"/>
      <c r="L25" s="119"/>
      <c r="O25" s="16" t="s">
        <v>21</v>
      </c>
      <c r="P25" s="16">
        <v>0</v>
      </c>
      <c r="Q25" s="40">
        <f t="shared" si="0"/>
        <v>1</v>
      </c>
      <c r="R25" s="14" t="s">
        <v>113</v>
      </c>
      <c r="S25" s="27" t="e">
        <f>#REF!*Q25</f>
        <v>#REF!</v>
      </c>
    </row>
    <row r="26" spans="1:21" ht="40.9" customHeight="1" x14ac:dyDescent="0.25">
      <c r="A26" s="4"/>
      <c r="B26" s="167"/>
      <c r="C26" s="189"/>
      <c r="D26" s="189"/>
      <c r="E26" s="189"/>
      <c r="F26" s="189" t="s">
        <v>22</v>
      </c>
      <c r="G26" s="169"/>
      <c r="H26" s="101"/>
      <c r="I26" s="117"/>
      <c r="J26" s="117"/>
      <c r="K26" s="100"/>
      <c r="L26" s="119"/>
      <c r="O26" s="16" t="s">
        <v>22</v>
      </c>
      <c r="P26" s="16">
        <v>0</v>
      </c>
      <c r="Q26" s="40">
        <f t="shared" si="0"/>
        <v>1</v>
      </c>
      <c r="R26" s="14" t="s">
        <v>112</v>
      </c>
      <c r="S26" s="27" t="e">
        <f>#REF!*Q26</f>
        <v>#REF!</v>
      </c>
    </row>
    <row r="27" spans="1:21" ht="35.450000000000003" customHeight="1" thickBot="1" x14ac:dyDescent="0.3">
      <c r="A27" s="4"/>
      <c r="B27" s="167"/>
      <c r="C27" s="189"/>
      <c r="D27" s="189"/>
      <c r="E27" s="189"/>
      <c r="F27" s="189" t="s">
        <v>23</v>
      </c>
      <c r="G27" s="169"/>
      <c r="H27" s="104"/>
      <c r="I27" s="97"/>
      <c r="J27" s="97"/>
      <c r="K27" s="105"/>
      <c r="L27" s="119"/>
      <c r="O27" s="16" t="s">
        <v>23</v>
      </c>
      <c r="P27" s="16">
        <v>0</v>
      </c>
      <c r="Q27" s="40">
        <f t="shared" si="0"/>
        <v>1</v>
      </c>
      <c r="R27" s="14" t="s">
        <v>111</v>
      </c>
      <c r="S27" s="27" t="e">
        <f>#REF!*Q27</f>
        <v>#REF!</v>
      </c>
    </row>
    <row r="28" spans="1:21" ht="15.75" thickBot="1" x14ac:dyDescent="0.3">
      <c r="A28" s="4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147"/>
      <c r="N28" s="148"/>
      <c r="R28" s="14" t="s">
        <v>118</v>
      </c>
      <c r="S28" s="25" t="e">
        <f>SUM(S20:S27)+#REF!</f>
        <v>#REF!</v>
      </c>
    </row>
    <row r="29" spans="1:21" ht="21.75" customHeight="1" x14ac:dyDescent="0.25">
      <c r="A29" s="4"/>
      <c r="B29" s="5"/>
      <c r="C29" s="4"/>
      <c r="D29" s="4"/>
      <c r="E29" s="4"/>
      <c r="F29" s="4"/>
      <c r="G29" s="4"/>
      <c r="H29" s="4"/>
      <c r="I29" s="4"/>
      <c r="J29" s="4"/>
      <c r="K29" s="4"/>
    </row>
    <row r="32" spans="1:21" x14ac:dyDescent="0.25"/>
    <row r="33" x14ac:dyDescent="0.25"/>
    <row r="34" x14ac:dyDescent="0.25"/>
    <row r="35" x14ac:dyDescent="0.25"/>
  </sheetData>
  <sheetProtection algorithmName="SHA-512" hashValue="19oOWgboB0pFwYiC/FWhzyK3MPW4P2h54rrPX1tckwCxv6cl6CoBxuZQa1G4dFElg8w2Qgb92hE4SOWXWzzS5A==" saltValue="WnUjKCmwtjXNjvtzfwl3/g==" spinCount="100000" sheet="1" objects="1" scenarios="1" selectLockedCells="1"/>
  <mergeCells count="30">
    <mergeCell ref="B3:K3"/>
    <mergeCell ref="F24:G24"/>
    <mergeCell ref="F25:G25"/>
    <mergeCell ref="C18:E27"/>
    <mergeCell ref="B18:B27"/>
    <mergeCell ref="F26:G26"/>
    <mergeCell ref="F27:G27"/>
    <mergeCell ref="F20:G20"/>
    <mergeCell ref="F21:G21"/>
    <mergeCell ref="F22:G22"/>
    <mergeCell ref="F23:G23"/>
    <mergeCell ref="H18:K18"/>
    <mergeCell ref="H19:I19"/>
    <mergeCell ref="J19:K19"/>
    <mergeCell ref="F18:G19"/>
    <mergeCell ref="H21:I21"/>
    <mergeCell ref="J21:K21"/>
    <mergeCell ref="H4:K4"/>
    <mergeCell ref="H11:K11"/>
    <mergeCell ref="B12:B17"/>
    <mergeCell ref="E15:F15"/>
    <mergeCell ref="E16:F16"/>
    <mergeCell ref="E17:F17"/>
    <mergeCell ref="H20:I20"/>
    <mergeCell ref="J20:K20"/>
    <mergeCell ref="C4:G4"/>
    <mergeCell ref="B5:B10"/>
    <mergeCell ref="C11:G11"/>
    <mergeCell ref="E13:F13"/>
    <mergeCell ref="E14:F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_1">
              <controlPr defaultSize="0" autoFill="0" autoLine="0" autoPict="0">
                <anchor moveWithCells="1">
                  <from>
                    <xdr:col>3</xdr:col>
                    <xdr:colOff>304800</xdr:colOff>
                    <xdr:row>5</xdr:row>
                    <xdr:rowOff>171450</xdr:rowOff>
                  </from>
                  <to>
                    <xdr:col>3</xdr:col>
                    <xdr:colOff>628650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_2">
              <controlPr defaultSize="0" autoFill="0" autoLine="0" autoPict="0">
                <anchor moveWithCells="1">
                  <from>
                    <xdr:col>4</xdr:col>
                    <xdr:colOff>323850</xdr:colOff>
                    <xdr:row>5</xdr:row>
                    <xdr:rowOff>152400</xdr:rowOff>
                  </from>
                  <to>
                    <xdr:col>4</xdr:col>
                    <xdr:colOff>742950</xdr:colOff>
                    <xdr:row>5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B_3">
              <controlPr defaultSize="0" autoFill="0" autoLine="0" autoPict="0">
                <anchor moveWithCells="1">
                  <from>
                    <xdr:col>5</xdr:col>
                    <xdr:colOff>314325</xdr:colOff>
                    <xdr:row>5</xdr:row>
                    <xdr:rowOff>142875</xdr:rowOff>
                  </from>
                  <to>
                    <xdr:col>5</xdr:col>
                    <xdr:colOff>657225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Group Box 5">
              <controlPr defaultSize="0" autoFill="0" autoPict="0">
                <anchor moveWithCells="1">
                  <from>
                    <xdr:col>3</xdr:col>
                    <xdr:colOff>47625</xdr:colOff>
                    <xdr:row>5</xdr:row>
                    <xdr:rowOff>57150</xdr:rowOff>
                  </from>
                  <to>
                    <xdr:col>6</xdr:col>
                    <xdr:colOff>666750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8" name="B_4">
              <controlPr defaultSize="0" autoFill="0" autoLine="0" autoPict="0">
                <anchor moveWithCells="1">
                  <from>
                    <xdr:col>6</xdr:col>
                    <xdr:colOff>361950</xdr:colOff>
                    <xdr:row>5</xdr:row>
                    <xdr:rowOff>171450</xdr:rowOff>
                  </from>
                  <to>
                    <xdr:col>6</xdr:col>
                    <xdr:colOff>581025</xdr:colOff>
                    <xdr:row>5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9" name="B_9">
              <controlPr defaultSize="0" autoFill="0" autoLine="0" autoPict="0">
                <anchor moveWithCells="1">
                  <from>
                    <xdr:col>3</xdr:col>
                    <xdr:colOff>314325</xdr:colOff>
                    <xdr:row>6</xdr:row>
                    <xdr:rowOff>171450</xdr:rowOff>
                  </from>
                  <to>
                    <xdr:col>3</xdr:col>
                    <xdr:colOff>628650</xdr:colOff>
                    <xdr:row>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0" name="B_10">
              <controlPr defaultSize="0" autoFill="0" autoLine="0" autoPict="0">
                <anchor moveWithCells="1">
                  <from>
                    <xdr:col>4</xdr:col>
                    <xdr:colOff>323850</xdr:colOff>
                    <xdr:row>6</xdr:row>
                    <xdr:rowOff>161925</xdr:rowOff>
                  </from>
                  <to>
                    <xdr:col>4</xdr:col>
                    <xdr:colOff>742950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1" name="B_11">
              <controlPr defaultSize="0" autoFill="0" autoLine="0" autoPict="0">
                <anchor moveWithCells="1">
                  <from>
                    <xdr:col>5</xdr:col>
                    <xdr:colOff>323850</xdr:colOff>
                    <xdr:row>6</xdr:row>
                    <xdr:rowOff>152400</xdr:rowOff>
                  </from>
                  <to>
                    <xdr:col>5</xdr:col>
                    <xdr:colOff>666750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2" name="Group Box 10">
              <controlPr defaultSize="0" autoFill="0" autoPict="0">
                <anchor moveWithCells="1">
                  <from>
                    <xdr:col>3</xdr:col>
                    <xdr:colOff>57150</xdr:colOff>
                    <xdr:row>6</xdr:row>
                    <xdr:rowOff>57150</xdr:rowOff>
                  </from>
                  <to>
                    <xdr:col>6</xdr:col>
                    <xdr:colOff>676275</xdr:colOff>
                    <xdr:row>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3" name="B_12">
              <controlPr defaultSize="0" autoFill="0" autoLine="0" autoPict="0">
                <anchor moveWithCells="1">
                  <from>
                    <xdr:col>6</xdr:col>
                    <xdr:colOff>361950</xdr:colOff>
                    <xdr:row>6</xdr:row>
                    <xdr:rowOff>171450</xdr:rowOff>
                  </from>
                  <to>
                    <xdr:col>6</xdr:col>
                    <xdr:colOff>590550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14" name="B_17">
              <controlPr defaultSize="0" autoFill="0" autoLine="0" autoPict="0">
                <anchor moveWithCells="1">
                  <from>
                    <xdr:col>3</xdr:col>
                    <xdr:colOff>314325</xdr:colOff>
                    <xdr:row>7</xdr:row>
                    <xdr:rowOff>152400</xdr:rowOff>
                  </from>
                  <to>
                    <xdr:col>3</xdr:col>
                    <xdr:colOff>628650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15" name="B_18">
              <controlPr defaultSize="0" autoFill="0" autoLine="0" autoPict="0">
                <anchor moveWithCells="1">
                  <from>
                    <xdr:col>4</xdr:col>
                    <xdr:colOff>352425</xdr:colOff>
                    <xdr:row>7</xdr:row>
                    <xdr:rowOff>133350</xdr:rowOff>
                  </from>
                  <to>
                    <xdr:col>4</xdr:col>
                    <xdr:colOff>762000</xdr:colOff>
                    <xdr:row>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16" name="B_19">
              <controlPr defaultSize="0" autoFill="0" autoLine="0" autoPict="0">
                <anchor moveWithCells="1">
                  <from>
                    <xdr:col>5</xdr:col>
                    <xdr:colOff>333375</xdr:colOff>
                    <xdr:row>7</xdr:row>
                    <xdr:rowOff>133350</xdr:rowOff>
                  </from>
                  <to>
                    <xdr:col>5</xdr:col>
                    <xdr:colOff>676275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7" name="Group Box 15">
              <controlPr defaultSize="0" autoFill="0" autoPict="0">
                <anchor moveWithCells="1">
                  <from>
                    <xdr:col>3</xdr:col>
                    <xdr:colOff>57150</xdr:colOff>
                    <xdr:row>7</xdr:row>
                    <xdr:rowOff>57150</xdr:rowOff>
                  </from>
                  <to>
                    <xdr:col>6</xdr:col>
                    <xdr:colOff>685800</xdr:colOff>
                    <xdr:row>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18" name="B_20">
              <controlPr defaultSize="0" autoFill="0" autoLine="0" autoPict="0">
                <anchor moveWithCells="1">
                  <from>
                    <xdr:col>6</xdr:col>
                    <xdr:colOff>361950</xdr:colOff>
                    <xdr:row>7</xdr:row>
                    <xdr:rowOff>152400</xdr:rowOff>
                  </from>
                  <to>
                    <xdr:col>6</xdr:col>
                    <xdr:colOff>581025</xdr:colOff>
                    <xdr:row>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19" name="B_25">
              <controlPr defaultSize="0" autoFill="0" autoLine="0" autoPict="0">
                <anchor moveWithCells="1">
                  <from>
                    <xdr:col>3</xdr:col>
                    <xdr:colOff>314325</xdr:colOff>
                    <xdr:row>8</xdr:row>
                    <xdr:rowOff>152400</xdr:rowOff>
                  </from>
                  <to>
                    <xdr:col>3</xdr:col>
                    <xdr:colOff>628650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4" r:id="rId20" name="B_26">
              <controlPr defaultSize="0" autoFill="0" autoLine="0" autoPict="0">
                <anchor moveWithCells="1">
                  <from>
                    <xdr:col>4</xdr:col>
                    <xdr:colOff>352425</xdr:colOff>
                    <xdr:row>8</xdr:row>
                    <xdr:rowOff>133350</xdr:rowOff>
                  </from>
                  <to>
                    <xdr:col>4</xdr:col>
                    <xdr:colOff>771525</xdr:colOff>
                    <xdr:row>8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5" r:id="rId21" name="B_27">
              <controlPr defaultSize="0" autoFill="0" autoLine="0" autoPict="0">
                <anchor moveWithCells="1">
                  <from>
                    <xdr:col>5</xdr:col>
                    <xdr:colOff>333375</xdr:colOff>
                    <xdr:row>8</xdr:row>
                    <xdr:rowOff>133350</xdr:rowOff>
                  </from>
                  <to>
                    <xdr:col>5</xdr:col>
                    <xdr:colOff>676275</xdr:colOff>
                    <xdr:row>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22" name="Group Box 20">
              <controlPr defaultSize="0" autoFill="0" autoPict="0">
                <anchor moveWithCells="1">
                  <from>
                    <xdr:col>3</xdr:col>
                    <xdr:colOff>57150</xdr:colOff>
                    <xdr:row>8</xdr:row>
                    <xdr:rowOff>57150</xdr:rowOff>
                  </from>
                  <to>
                    <xdr:col>6</xdr:col>
                    <xdr:colOff>676275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7" r:id="rId23" name="B_28">
              <controlPr defaultSize="0" autoFill="0" autoLine="0" autoPict="0">
                <anchor moveWithCells="1">
                  <from>
                    <xdr:col>6</xdr:col>
                    <xdr:colOff>361950</xdr:colOff>
                    <xdr:row>8</xdr:row>
                    <xdr:rowOff>152400</xdr:rowOff>
                  </from>
                  <to>
                    <xdr:col>6</xdr:col>
                    <xdr:colOff>581025</xdr:colOff>
                    <xdr:row>8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3" r:id="rId24" name="B_33">
              <controlPr defaultSize="0" autoFill="0" autoLine="0" autoPict="0">
                <anchor moveWithCells="1">
                  <from>
                    <xdr:col>3</xdr:col>
                    <xdr:colOff>314325</xdr:colOff>
                    <xdr:row>9</xdr:row>
                    <xdr:rowOff>171450</xdr:rowOff>
                  </from>
                  <to>
                    <xdr:col>3</xdr:col>
                    <xdr:colOff>628650</xdr:colOff>
                    <xdr:row>9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4" r:id="rId25" name="B_34">
              <controlPr defaultSize="0" autoFill="0" autoLine="0" autoPict="0">
                <anchor moveWithCells="1">
                  <from>
                    <xdr:col>4</xdr:col>
                    <xdr:colOff>323850</xdr:colOff>
                    <xdr:row>9</xdr:row>
                    <xdr:rowOff>161925</xdr:rowOff>
                  </from>
                  <to>
                    <xdr:col>4</xdr:col>
                    <xdr:colOff>742950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5" r:id="rId26" name="B_35">
              <controlPr defaultSize="0" autoFill="0" autoLine="0" autoPict="0">
                <anchor moveWithCells="1">
                  <from>
                    <xdr:col>5</xdr:col>
                    <xdr:colOff>323850</xdr:colOff>
                    <xdr:row>9</xdr:row>
                    <xdr:rowOff>152400</xdr:rowOff>
                  </from>
                  <to>
                    <xdr:col>5</xdr:col>
                    <xdr:colOff>666750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6" r:id="rId27" name="Group Box 30">
              <controlPr defaultSize="0" autoFill="0" autoPict="0">
                <anchor moveWithCells="1">
                  <from>
                    <xdr:col>3</xdr:col>
                    <xdr:colOff>57150</xdr:colOff>
                    <xdr:row>9</xdr:row>
                    <xdr:rowOff>85725</xdr:rowOff>
                  </from>
                  <to>
                    <xdr:col>6</xdr:col>
                    <xdr:colOff>676275</xdr:colOff>
                    <xdr:row>9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7" r:id="rId28" name="B_36">
              <controlPr defaultSize="0" autoFill="0" autoLine="0" autoPict="0">
                <anchor moveWithCells="1">
                  <from>
                    <xdr:col>6</xdr:col>
                    <xdr:colOff>361950</xdr:colOff>
                    <xdr:row>9</xdr:row>
                    <xdr:rowOff>171450</xdr:rowOff>
                  </from>
                  <to>
                    <xdr:col>6</xdr:col>
                    <xdr:colOff>590550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8" r:id="rId29" name="B_5">
              <controlPr defaultSize="0" autoFill="0" autoLine="0" autoPict="0">
                <anchor moveWithCells="1">
                  <from>
                    <xdr:col>7</xdr:col>
                    <xdr:colOff>342900</xdr:colOff>
                    <xdr:row>5</xdr:row>
                    <xdr:rowOff>171450</xdr:rowOff>
                  </from>
                  <to>
                    <xdr:col>7</xdr:col>
                    <xdr:colOff>666750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9" r:id="rId30" name="B_6">
              <controlPr defaultSize="0" autoFill="0" autoLine="0" autoPict="0">
                <anchor moveWithCells="1">
                  <from>
                    <xdr:col>8</xdr:col>
                    <xdr:colOff>342900</xdr:colOff>
                    <xdr:row>5</xdr:row>
                    <xdr:rowOff>152400</xdr:rowOff>
                  </from>
                  <to>
                    <xdr:col>8</xdr:col>
                    <xdr:colOff>762000</xdr:colOff>
                    <xdr:row>5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0" r:id="rId31" name="B_7">
              <controlPr defaultSize="0" autoFill="0" autoLine="0" autoPict="0">
                <anchor moveWithCells="1">
                  <from>
                    <xdr:col>9</xdr:col>
                    <xdr:colOff>295275</xdr:colOff>
                    <xdr:row>5</xdr:row>
                    <xdr:rowOff>142875</xdr:rowOff>
                  </from>
                  <to>
                    <xdr:col>9</xdr:col>
                    <xdr:colOff>638175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1" r:id="rId32" name="Group Box 35">
              <controlPr defaultSize="0" autoFill="0" autoPict="0">
                <anchor moveWithCells="1">
                  <from>
                    <xdr:col>7</xdr:col>
                    <xdr:colOff>57150</xdr:colOff>
                    <xdr:row>5</xdr:row>
                    <xdr:rowOff>57150</xdr:rowOff>
                  </from>
                  <to>
                    <xdr:col>10</xdr:col>
                    <xdr:colOff>752475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2" r:id="rId33" name="B_8">
              <controlPr defaultSize="0" autoFill="0" autoLine="0" autoPict="0">
                <anchor moveWithCells="1">
                  <from>
                    <xdr:col>10</xdr:col>
                    <xdr:colOff>361950</xdr:colOff>
                    <xdr:row>5</xdr:row>
                    <xdr:rowOff>171450</xdr:rowOff>
                  </from>
                  <to>
                    <xdr:col>10</xdr:col>
                    <xdr:colOff>581025</xdr:colOff>
                    <xdr:row>5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3" r:id="rId34" name="B_13">
              <controlPr defaultSize="0" autoFill="0" autoLine="0" autoPict="0">
                <anchor moveWithCells="1">
                  <from>
                    <xdr:col>7</xdr:col>
                    <xdr:colOff>352425</xdr:colOff>
                    <xdr:row>6</xdr:row>
                    <xdr:rowOff>171450</xdr:rowOff>
                  </from>
                  <to>
                    <xdr:col>7</xdr:col>
                    <xdr:colOff>666750</xdr:colOff>
                    <xdr:row>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4" r:id="rId35" name="B_14">
              <controlPr defaultSize="0" autoFill="0" autoLine="0" autoPict="0">
                <anchor moveWithCells="1">
                  <from>
                    <xdr:col>8</xdr:col>
                    <xdr:colOff>352425</xdr:colOff>
                    <xdr:row>6</xdr:row>
                    <xdr:rowOff>161925</xdr:rowOff>
                  </from>
                  <to>
                    <xdr:col>8</xdr:col>
                    <xdr:colOff>771525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5" r:id="rId36" name="B_15">
              <controlPr defaultSize="0" autoFill="0" autoLine="0" autoPict="0">
                <anchor moveWithCells="1">
                  <from>
                    <xdr:col>9</xdr:col>
                    <xdr:colOff>304800</xdr:colOff>
                    <xdr:row>6</xdr:row>
                    <xdr:rowOff>152400</xdr:rowOff>
                  </from>
                  <to>
                    <xdr:col>9</xdr:col>
                    <xdr:colOff>647700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6" r:id="rId37" name="Group Box 40">
              <controlPr defaultSize="0" autoFill="0" autoPict="0">
                <anchor moveWithCells="1">
                  <from>
                    <xdr:col>7</xdr:col>
                    <xdr:colOff>57150</xdr:colOff>
                    <xdr:row>6</xdr:row>
                    <xdr:rowOff>57150</xdr:rowOff>
                  </from>
                  <to>
                    <xdr:col>10</xdr:col>
                    <xdr:colOff>752475</xdr:colOff>
                    <xdr:row>6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7" r:id="rId38" name="B_16">
              <controlPr defaultSize="0" autoFill="0" autoLine="0" autoPict="0">
                <anchor moveWithCells="1">
                  <from>
                    <xdr:col>10</xdr:col>
                    <xdr:colOff>361950</xdr:colOff>
                    <xdr:row>6</xdr:row>
                    <xdr:rowOff>171450</xdr:rowOff>
                  </from>
                  <to>
                    <xdr:col>10</xdr:col>
                    <xdr:colOff>590550</xdr:colOff>
                    <xdr:row>6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8" r:id="rId39" name="B_21">
              <controlPr defaultSize="0" autoFill="0" autoLine="0" autoPict="0">
                <anchor moveWithCells="1">
                  <from>
                    <xdr:col>7</xdr:col>
                    <xdr:colOff>352425</xdr:colOff>
                    <xdr:row>7</xdr:row>
                    <xdr:rowOff>152400</xdr:rowOff>
                  </from>
                  <to>
                    <xdr:col>7</xdr:col>
                    <xdr:colOff>666750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9" r:id="rId40" name="B_22">
              <controlPr defaultSize="0" autoFill="0" autoLine="0" autoPict="0">
                <anchor moveWithCells="1">
                  <from>
                    <xdr:col>8</xdr:col>
                    <xdr:colOff>352425</xdr:colOff>
                    <xdr:row>7</xdr:row>
                    <xdr:rowOff>133350</xdr:rowOff>
                  </from>
                  <to>
                    <xdr:col>8</xdr:col>
                    <xdr:colOff>771525</xdr:colOff>
                    <xdr:row>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0" r:id="rId41" name="B_23">
              <controlPr defaultSize="0" autoFill="0" autoLine="0" autoPict="0">
                <anchor moveWithCells="1">
                  <from>
                    <xdr:col>9</xdr:col>
                    <xdr:colOff>304800</xdr:colOff>
                    <xdr:row>7</xdr:row>
                    <xdr:rowOff>133350</xdr:rowOff>
                  </from>
                  <to>
                    <xdr:col>9</xdr:col>
                    <xdr:colOff>647700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1" r:id="rId42" name="Group Box 45">
              <controlPr defaultSize="0" autoFill="0" autoPict="0">
                <anchor moveWithCells="1">
                  <from>
                    <xdr:col>7</xdr:col>
                    <xdr:colOff>57150</xdr:colOff>
                    <xdr:row>7</xdr:row>
                    <xdr:rowOff>57150</xdr:rowOff>
                  </from>
                  <to>
                    <xdr:col>10</xdr:col>
                    <xdr:colOff>752475</xdr:colOff>
                    <xdr:row>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2" r:id="rId43" name="B_24">
              <controlPr defaultSize="0" autoFill="0" autoLine="0" autoPict="0">
                <anchor moveWithCells="1">
                  <from>
                    <xdr:col>10</xdr:col>
                    <xdr:colOff>361950</xdr:colOff>
                    <xdr:row>7</xdr:row>
                    <xdr:rowOff>152400</xdr:rowOff>
                  </from>
                  <to>
                    <xdr:col>10</xdr:col>
                    <xdr:colOff>590550</xdr:colOff>
                    <xdr:row>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3" r:id="rId44" name="B_29">
              <controlPr defaultSize="0" autoFill="0" autoLine="0" autoPict="0">
                <anchor moveWithCells="1">
                  <from>
                    <xdr:col>7</xdr:col>
                    <xdr:colOff>361950</xdr:colOff>
                    <xdr:row>8</xdr:row>
                    <xdr:rowOff>152400</xdr:rowOff>
                  </from>
                  <to>
                    <xdr:col>7</xdr:col>
                    <xdr:colOff>676275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4" r:id="rId45" name="B_30">
              <controlPr defaultSize="0" autoFill="0" autoLine="0" autoPict="0">
                <anchor moveWithCells="1">
                  <from>
                    <xdr:col>8</xdr:col>
                    <xdr:colOff>361950</xdr:colOff>
                    <xdr:row>8</xdr:row>
                    <xdr:rowOff>133350</xdr:rowOff>
                  </from>
                  <to>
                    <xdr:col>8</xdr:col>
                    <xdr:colOff>781050</xdr:colOff>
                    <xdr:row>8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5" r:id="rId46" name="B_31">
              <controlPr defaultSize="0" autoFill="0" autoLine="0" autoPict="0">
                <anchor moveWithCells="1">
                  <from>
                    <xdr:col>9</xdr:col>
                    <xdr:colOff>323850</xdr:colOff>
                    <xdr:row>8</xdr:row>
                    <xdr:rowOff>133350</xdr:rowOff>
                  </from>
                  <to>
                    <xdr:col>9</xdr:col>
                    <xdr:colOff>657225</xdr:colOff>
                    <xdr:row>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6" r:id="rId47" name="Group Box 50">
              <controlPr defaultSize="0" autoFill="0" autoPict="0">
                <anchor moveWithCells="1">
                  <from>
                    <xdr:col>7</xdr:col>
                    <xdr:colOff>66675</xdr:colOff>
                    <xdr:row>8</xdr:row>
                    <xdr:rowOff>57150</xdr:rowOff>
                  </from>
                  <to>
                    <xdr:col>10</xdr:col>
                    <xdr:colOff>771525</xdr:colOff>
                    <xdr:row>8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7" r:id="rId48" name="B_32">
              <controlPr defaultSize="0" autoFill="0" autoLine="0" autoPict="0">
                <anchor moveWithCells="1">
                  <from>
                    <xdr:col>10</xdr:col>
                    <xdr:colOff>381000</xdr:colOff>
                    <xdr:row>8</xdr:row>
                    <xdr:rowOff>152400</xdr:rowOff>
                  </from>
                  <to>
                    <xdr:col>10</xdr:col>
                    <xdr:colOff>600075</xdr:colOff>
                    <xdr:row>8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8" r:id="rId49" name="B_37">
              <controlPr defaultSize="0" autoFill="0" autoLine="0" autoPict="0">
                <anchor moveWithCells="1">
                  <from>
                    <xdr:col>7</xdr:col>
                    <xdr:colOff>371475</xdr:colOff>
                    <xdr:row>9</xdr:row>
                    <xdr:rowOff>171450</xdr:rowOff>
                  </from>
                  <to>
                    <xdr:col>7</xdr:col>
                    <xdr:colOff>695325</xdr:colOff>
                    <xdr:row>9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9" r:id="rId50" name="B_38">
              <controlPr defaultSize="0" autoFill="0" autoLine="0" autoPict="0">
                <anchor moveWithCells="1">
                  <from>
                    <xdr:col>8</xdr:col>
                    <xdr:colOff>371475</xdr:colOff>
                    <xdr:row>9</xdr:row>
                    <xdr:rowOff>161925</xdr:rowOff>
                  </from>
                  <to>
                    <xdr:col>8</xdr:col>
                    <xdr:colOff>790575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0" r:id="rId51" name="B_39">
              <controlPr defaultSize="0" autoFill="0" autoLine="0" autoPict="0">
                <anchor moveWithCells="1">
                  <from>
                    <xdr:col>9</xdr:col>
                    <xdr:colOff>323850</xdr:colOff>
                    <xdr:row>9</xdr:row>
                    <xdr:rowOff>152400</xdr:rowOff>
                  </from>
                  <to>
                    <xdr:col>9</xdr:col>
                    <xdr:colOff>666750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1" r:id="rId52" name="Group Box 55">
              <controlPr defaultSize="0" autoFill="0" autoPict="0">
                <anchor moveWithCells="1">
                  <from>
                    <xdr:col>7</xdr:col>
                    <xdr:colOff>76200</xdr:colOff>
                    <xdr:row>9</xdr:row>
                    <xdr:rowOff>85725</xdr:rowOff>
                  </from>
                  <to>
                    <xdr:col>10</xdr:col>
                    <xdr:colOff>781050</xdr:colOff>
                    <xdr:row>9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2" r:id="rId53" name="B_40">
              <controlPr defaultSize="0" autoFill="0" autoLine="0" autoPict="0">
                <anchor moveWithCells="1">
                  <from>
                    <xdr:col>10</xdr:col>
                    <xdr:colOff>390525</xdr:colOff>
                    <xdr:row>9</xdr:row>
                    <xdr:rowOff>171450</xdr:rowOff>
                  </from>
                  <to>
                    <xdr:col>10</xdr:col>
                    <xdr:colOff>609600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3" r:id="rId54" name="B_41">
              <controlPr defaultSize="0" autoFill="0" autoLine="0" autoPict="0">
                <anchor moveWithCells="1">
                  <from>
                    <xdr:col>3</xdr:col>
                    <xdr:colOff>314325</xdr:colOff>
                    <xdr:row>12</xdr:row>
                    <xdr:rowOff>152400</xdr:rowOff>
                  </from>
                  <to>
                    <xdr:col>3</xdr:col>
                    <xdr:colOff>628650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4" r:id="rId55" name="B_42">
              <controlPr defaultSize="0" autoFill="0" autoLine="0" autoPict="0">
                <anchor moveWithCells="1">
                  <from>
                    <xdr:col>4</xdr:col>
                    <xdr:colOff>323850</xdr:colOff>
                    <xdr:row>12</xdr:row>
                    <xdr:rowOff>133350</xdr:rowOff>
                  </from>
                  <to>
                    <xdr:col>4</xdr:col>
                    <xdr:colOff>742950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5" r:id="rId56" name="B_43">
              <controlPr defaultSize="0" autoFill="0" autoLine="0" autoPict="0">
                <anchor moveWithCells="1">
                  <from>
                    <xdr:col>5</xdr:col>
                    <xdr:colOff>323850</xdr:colOff>
                    <xdr:row>12</xdr:row>
                    <xdr:rowOff>133350</xdr:rowOff>
                  </from>
                  <to>
                    <xdr:col>5</xdr:col>
                    <xdr:colOff>666750</xdr:colOff>
                    <xdr:row>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6" r:id="rId57" name="Group Box 60">
              <controlPr defaultSize="0" autoFill="0" autoPict="0">
                <anchor moveWithCells="1">
                  <from>
                    <xdr:col>3</xdr:col>
                    <xdr:colOff>57150</xdr:colOff>
                    <xdr:row>12</xdr:row>
                    <xdr:rowOff>57150</xdr:rowOff>
                  </from>
                  <to>
                    <xdr:col>6</xdr:col>
                    <xdr:colOff>676275</xdr:colOff>
                    <xdr:row>12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7" r:id="rId58" name="B_44">
              <controlPr defaultSize="0" autoFill="0" autoLine="0" autoPict="0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6</xdr:col>
                    <xdr:colOff>590550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8" r:id="rId59" name="B_49">
              <controlPr defaultSize="0" autoFill="0" autoLine="0" autoPict="0">
                <anchor moveWithCells="1">
                  <from>
                    <xdr:col>3</xdr:col>
                    <xdr:colOff>314325</xdr:colOff>
                    <xdr:row>13</xdr:row>
                    <xdr:rowOff>152400</xdr:rowOff>
                  </from>
                  <to>
                    <xdr:col>3</xdr:col>
                    <xdr:colOff>628650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9" r:id="rId60" name="B_50">
              <controlPr defaultSize="0" autoFill="0" autoLine="0" autoPict="0">
                <anchor moveWithCells="1">
                  <from>
                    <xdr:col>4</xdr:col>
                    <xdr:colOff>323850</xdr:colOff>
                    <xdr:row>13</xdr:row>
                    <xdr:rowOff>133350</xdr:rowOff>
                  </from>
                  <to>
                    <xdr:col>4</xdr:col>
                    <xdr:colOff>742950</xdr:colOff>
                    <xdr:row>13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0" r:id="rId61" name="B_51">
              <controlPr defaultSize="0" autoFill="0" autoLine="0" autoPict="0">
                <anchor moveWithCells="1">
                  <from>
                    <xdr:col>5</xdr:col>
                    <xdr:colOff>323850</xdr:colOff>
                    <xdr:row>13</xdr:row>
                    <xdr:rowOff>133350</xdr:rowOff>
                  </from>
                  <to>
                    <xdr:col>5</xdr:col>
                    <xdr:colOff>666750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1" r:id="rId62" name="Group Box 65">
              <controlPr defaultSize="0" autoFill="0" autoPict="0">
                <anchor moveWithCells="1">
                  <from>
                    <xdr:col>3</xdr:col>
                    <xdr:colOff>57150</xdr:colOff>
                    <xdr:row>13</xdr:row>
                    <xdr:rowOff>57150</xdr:rowOff>
                  </from>
                  <to>
                    <xdr:col>6</xdr:col>
                    <xdr:colOff>676275</xdr:colOff>
                    <xdr:row>13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2" r:id="rId63" name="B_52">
              <controlPr defaultSize="0" autoFill="0" autoLine="0" autoPict="0">
                <anchor moveWithCells="1">
                  <from>
                    <xdr:col>6</xdr:col>
                    <xdr:colOff>361950</xdr:colOff>
                    <xdr:row>13</xdr:row>
                    <xdr:rowOff>152400</xdr:rowOff>
                  </from>
                  <to>
                    <xdr:col>6</xdr:col>
                    <xdr:colOff>590550</xdr:colOff>
                    <xdr:row>13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3" r:id="rId64" name="B_57">
              <controlPr defaultSize="0" autoFill="0" autoLine="0" autoPict="0">
                <anchor moveWithCells="1">
                  <from>
                    <xdr:col>3</xdr:col>
                    <xdr:colOff>314325</xdr:colOff>
                    <xdr:row>14</xdr:row>
                    <xdr:rowOff>133350</xdr:rowOff>
                  </from>
                  <to>
                    <xdr:col>3</xdr:col>
                    <xdr:colOff>628650</xdr:colOff>
                    <xdr:row>14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4" r:id="rId65" name="B_58">
              <controlPr defaultSize="0" autoFill="0" autoLine="0" autoPict="0">
                <anchor moveWithCells="1">
                  <from>
                    <xdr:col>4</xdr:col>
                    <xdr:colOff>323850</xdr:colOff>
                    <xdr:row>14</xdr:row>
                    <xdr:rowOff>123825</xdr:rowOff>
                  </from>
                  <to>
                    <xdr:col>4</xdr:col>
                    <xdr:colOff>742950</xdr:colOff>
                    <xdr:row>14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5" r:id="rId66" name="B_59">
              <controlPr defaultSize="0" autoFill="0" autoLine="0" autoPict="0">
                <anchor moveWithCells="1">
                  <from>
                    <xdr:col>5</xdr:col>
                    <xdr:colOff>323850</xdr:colOff>
                    <xdr:row>14</xdr:row>
                    <xdr:rowOff>114300</xdr:rowOff>
                  </from>
                  <to>
                    <xdr:col>5</xdr:col>
                    <xdr:colOff>666750</xdr:colOff>
                    <xdr:row>14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6" r:id="rId67" name="Group Box 70">
              <controlPr defaultSize="0" autoFill="0" autoPict="0">
                <anchor moveWithCells="1">
                  <from>
                    <xdr:col>3</xdr:col>
                    <xdr:colOff>57150</xdr:colOff>
                    <xdr:row>14</xdr:row>
                    <xdr:rowOff>47625</xdr:rowOff>
                  </from>
                  <to>
                    <xdr:col>6</xdr:col>
                    <xdr:colOff>676275</xdr:colOff>
                    <xdr:row>14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7" r:id="rId68" name="B_60">
              <controlPr defaultSize="0" autoFill="0" autoLine="0" autoPict="0">
                <anchor moveWithCells="1">
                  <from>
                    <xdr:col>6</xdr:col>
                    <xdr:colOff>361950</xdr:colOff>
                    <xdr:row>14</xdr:row>
                    <xdr:rowOff>133350</xdr:rowOff>
                  </from>
                  <to>
                    <xdr:col>6</xdr:col>
                    <xdr:colOff>590550</xdr:colOff>
                    <xdr:row>14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8" r:id="rId69" name="B_65">
              <controlPr defaultSize="0" autoFill="0" autoLine="0" autoPict="0">
                <anchor moveWithCells="1">
                  <from>
                    <xdr:col>3</xdr:col>
                    <xdr:colOff>314325</xdr:colOff>
                    <xdr:row>15</xdr:row>
                    <xdr:rowOff>133350</xdr:rowOff>
                  </from>
                  <to>
                    <xdr:col>3</xdr:col>
                    <xdr:colOff>628650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9" r:id="rId70" name="B_66">
              <controlPr defaultSize="0" autoFill="0" autoLine="0" autoPict="0">
                <anchor moveWithCells="1">
                  <from>
                    <xdr:col>4</xdr:col>
                    <xdr:colOff>323850</xdr:colOff>
                    <xdr:row>15</xdr:row>
                    <xdr:rowOff>114300</xdr:rowOff>
                  </from>
                  <to>
                    <xdr:col>4</xdr:col>
                    <xdr:colOff>742950</xdr:colOff>
                    <xdr:row>15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0" r:id="rId71" name="B_67">
              <controlPr defaultSize="0" autoFill="0" autoLine="0" autoPict="0">
                <anchor moveWithCells="1">
                  <from>
                    <xdr:col>5</xdr:col>
                    <xdr:colOff>323850</xdr:colOff>
                    <xdr:row>15</xdr:row>
                    <xdr:rowOff>104775</xdr:rowOff>
                  </from>
                  <to>
                    <xdr:col>5</xdr:col>
                    <xdr:colOff>666750</xdr:colOff>
                    <xdr:row>15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1" r:id="rId72" name="Group Box 75">
              <controlPr defaultSize="0" autoFill="0" autoPict="0">
                <anchor moveWithCells="1">
                  <from>
                    <xdr:col>3</xdr:col>
                    <xdr:colOff>57150</xdr:colOff>
                    <xdr:row>15</xdr:row>
                    <xdr:rowOff>38100</xdr:rowOff>
                  </from>
                  <to>
                    <xdr:col>6</xdr:col>
                    <xdr:colOff>676275</xdr:colOff>
                    <xdr:row>15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2" r:id="rId73" name="B_68">
              <controlPr defaultSize="0" autoFill="0" autoLine="0" autoPict="0">
                <anchor moveWithCells="1">
                  <from>
                    <xdr:col>6</xdr:col>
                    <xdr:colOff>361950</xdr:colOff>
                    <xdr:row>15</xdr:row>
                    <xdr:rowOff>133350</xdr:rowOff>
                  </from>
                  <to>
                    <xdr:col>6</xdr:col>
                    <xdr:colOff>590550</xdr:colOff>
                    <xdr:row>15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3" r:id="rId74" name="B_73">
              <controlPr defaultSize="0" autoFill="0" autoLine="0" autoPict="0">
                <anchor moveWithCells="1">
                  <from>
                    <xdr:col>3</xdr:col>
                    <xdr:colOff>323850</xdr:colOff>
                    <xdr:row>16</xdr:row>
                    <xdr:rowOff>133350</xdr:rowOff>
                  </from>
                  <to>
                    <xdr:col>3</xdr:col>
                    <xdr:colOff>638175</xdr:colOff>
                    <xdr:row>16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4" r:id="rId75" name="B_74">
              <controlPr defaultSize="0" autoFill="0" autoLine="0" autoPict="0">
                <anchor moveWithCells="1">
                  <from>
                    <xdr:col>4</xdr:col>
                    <xdr:colOff>333375</xdr:colOff>
                    <xdr:row>16</xdr:row>
                    <xdr:rowOff>114300</xdr:rowOff>
                  </from>
                  <to>
                    <xdr:col>4</xdr:col>
                    <xdr:colOff>752475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5" r:id="rId76" name="B_75">
              <controlPr defaultSize="0" autoFill="0" autoLine="0" autoPict="0">
                <anchor moveWithCells="1">
                  <from>
                    <xdr:col>5</xdr:col>
                    <xdr:colOff>323850</xdr:colOff>
                    <xdr:row>16</xdr:row>
                    <xdr:rowOff>114300</xdr:rowOff>
                  </from>
                  <to>
                    <xdr:col>5</xdr:col>
                    <xdr:colOff>666750</xdr:colOff>
                    <xdr:row>16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6" r:id="rId77" name="Group Box 80">
              <controlPr defaultSize="0" autoFill="0" autoPict="0">
                <anchor moveWithCells="1">
                  <from>
                    <xdr:col>3</xdr:col>
                    <xdr:colOff>57150</xdr:colOff>
                    <xdr:row>16</xdr:row>
                    <xdr:rowOff>38100</xdr:rowOff>
                  </from>
                  <to>
                    <xdr:col>6</xdr:col>
                    <xdr:colOff>685800</xdr:colOff>
                    <xdr:row>16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7" r:id="rId78" name="B_76">
              <controlPr defaultSize="0" autoFill="0" autoLine="0" autoPict="0">
                <anchor moveWithCells="1">
                  <from>
                    <xdr:col>6</xdr:col>
                    <xdr:colOff>371475</xdr:colOff>
                    <xdr:row>16</xdr:row>
                    <xdr:rowOff>133350</xdr:rowOff>
                  </from>
                  <to>
                    <xdr:col>6</xdr:col>
                    <xdr:colOff>590550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8" r:id="rId79" name="B_45">
              <controlPr defaultSize="0" autoFill="0" autoLine="0" autoPict="0">
                <anchor moveWithCells="1">
                  <from>
                    <xdr:col>7</xdr:col>
                    <xdr:colOff>314325</xdr:colOff>
                    <xdr:row>12</xdr:row>
                    <xdr:rowOff>152400</xdr:rowOff>
                  </from>
                  <to>
                    <xdr:col>7</xdr:col>
                    <xdr:colOff>628650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9" r:id="rId80" name="B_46">
              <controlPr defaultSize="0" autoFill="0" autoLine="0" autoPict="0">
                <anchor moveWithCells="1">
                  <from>
                    <xdr:col>8</xdr:col>
                    <xdr:colOff>304800</xdr:colOff>
                    <xdr:row>12</xdr:row>
                    <xdr:rowOff>133350</xdr:rowOff>
                  </from>
                  <to>
                    <xdr:col>8</xdr:col>
                    <xdr:colOff>723900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0" r:id="rId81" name="B_47">
              <controlPr defaultSize="0" autoFill="0" autoLine="0" autoPict="0">
                <anchor moveWithCells="1">
                  <from>
                    <xdr:col>9</xdr:col>
                    <xdr:colOff>247650</xdr:colOff>
                    <xdr:row>12</xdr:row>
                    <xdr:rowOff>133350</xdr:rowOff>
                  </from>
                  <to>
                    <xdr:col>9</xdr:col>
                    <xdr:colOff>590550</xdr:colOff>
                    <xdr:row>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1" r:id="rId82" name="Group Box 85">
              <controlPr defaultSize="0" autoFill="0" autoPict="0">
                <anchor moveWithCells="1">
                  <from>
                    <xdr:col>7</xdr:col>
                    <xdr:colOff>57150</xdr:colOff>
                    <xdr:row>12</xdr:row>
                    <xdr:rowOff>57150</xdr:rowOff>
                  </from>
                  <to>
                    <xdr:col>10</xdr:col>
                    <xdr:colOff>752475</xdr:colOff>
                    <xdr:row>12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2" r:id="rId83" name="B_48">
              <controlPr defaultSize="0" autoFill="0" autoLine="0" autoPict="0">
                <anchor moveWithCells="1">
                  <from>
                    <xdr:col>10</xdr:col>
                    <xdr:colOff>361950</xdr:colOff>
                    <xdr:row>12</xdr:row>
                    <xdr:rowOff>152400</xdr:rowOff>
                  </from>
                  <to>
                    <xdr:col>10</xdr:col>
                    <xdr:colOff>590550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3" r:id="rId84" name="B_53">
              <controlPr defaultSize="0" autoFill="0" autoLine="0" autoPict="0">
                <anchor moveWithCells="1">
                  <from>
                    <xdr:col>7</xdr:col>
                    <xdr:colOff>314325</xdr:colOff>
                    <xdr:row>13</xdr:row>
                    <xdr:rowOff>152400</xdr:rowOff>
                  </from>
                  <to>
                    <xdr:col>7</xdr:col>
                    <xdr:colOff>628650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4" r:id="rId85" name="B_54">
              <controlPr defaultSize="0" autoFill="0" autoLine="0" autoPict="0">
                <anchor moveWithCells="1">
                  <from>
                    <xdr:col>8</xdr:col>
                    <xdr:colOff>304800</xdr:colOff>
                    <xdr:row>13</xdr:row>
                    <xdr:rowOff>133350</xdr:rowOff>
                  </from>
                  <to>
                    <xdr:col>8</xdr:col>
                    <xdr:colOff>723900</xdr:colOff>
                    <xdr:row>13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5" r:id="rId86" name="B_55">
              <controlPr defaultSize="0" autoFill="0" autoLine="0" autoPict="0">
                <anchor moveWithCells="1">
                  <from>
                    <xdr:col>9</xdr:col>
                    <xdr:colOff>247650</xdr:colOff>
                    <xdr:row>13</xdr:row>
                    <xdr:rowOff>123825</xdr:rowOff>
                  </from>
                  <to>
                    <xdr:col>9</xdr:col>
                    <xdr:colOff>590550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6" r:id="rId87" name="Group Box 90">
              <controlPr defaultSize="0" autoFill="0" autoPict="0">
                <anchor moveWithCells="1">
                  <from>
                    <xdr:col>7</xdr:col>
                    <xdr:colOff>57150</xdr:colOff>
                    <xdr:row>13</xdr:row>
                    <xdr:rowOff>57150</xdr:rowOff>
                  </from>
                  <to>
                    <xdr:col>10</xdr:col>
                    <xdr:colOff>762000</xdr:colOff>
                    <xdr:row>13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7" r:id="rId88" name="B_56">
              <controlPr defaultSize="0" autoFill="0" autoLine="0" autoPict="0">
                <anchor moveWithCells="1">
                  <from>
                    <xdr:col>10</xdr:col>
                    <xdr:colOff>361950</xdr:colOff>
                    <xdr:row>13</xdr:row>
                    <xdr:rowOff>152400</xdr:rowOff>
                  </from>
                  <to>
                    <xdr:col>10</xdr:col>
                    <xdr:colOff>590550</xdr:colOff>
                    <xdr:row>13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8" r:id="rId89" name="B_61">
              <controlPr defaultSize="0" autoFill="0" autoLine="0" autoPict="0">
                <anchor moveWithCells="1">
                  <from>
                    <xdr:col>7</xdr:col>
                    <xdr:colOff>323850</xdr:colOff>
                    <xdr:row>14</xdr:row>
                    <xdr:rowOff>133350</xdr:rowOff>
                  </from>
                  <to>
                    <xdr:col>7</xdr:col>
                    <xdr:colOff>638175</xdr:colOff>
                    <xdr:row>14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9" r:id="rId90" name="B_62">
              <controlPr defaultSize="0" autoFill="0" autoLine="0" autoPict="0">
                <anchor moveWithCells="1">
                  <from>
                    <xdr:col>8</xdr:col>
                    <xdr:colOff>314325</xdr:colOff>
                    <xdr:row>14</xdr:row>
                    <xdr:rowOff>133350</xdr:rowOff>
                  </from>
                  <to>
                    <xdr:col>8</xdr:col>
                    <xdr:colOff>733425</xdr:colOff>
                    <xdr:row>14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0" r:id="rId91" name="B_63">
              <controlPr defaultSize="0" autoFill="0" autoLine="0" autoPict="0">
                <anchor moveWithCells="1">
                  <from>
                    <xdr:col>9</xdr:col>
                    <xdr:colOff>247650</xdr:colOff>
                    <xdr:row>14</xdr:row>
                    <xdr:rowOff>114300</xdr:rowOff>
                  </from>
                  <to>
                    <xdr:col>9</xdr:col>
                    <xdr:colOff>600075</xdr:colOff>
                    <xdr:row>14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1" r:id="rId92" name="Group Box 95">
              <controlPr defaultSize="0" autoFill="0" autoPict="0">
                <anchor moveWithCells="1">
                  <from>
                    <xdr:col>7</xdr:col>
                    <xdr:colOff>57150</xdr:colOff>
                    <xdr:row>14</xdr:row>
                    <xdr:rowOff>47625</xdr:rowOff>
                  </from>
                  <to>
                    <xdr:col>10</xdr:col>
                    <xdr:colOff>781050</xdr:colOff>
                    <xdr:row>14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2" r:id="rId93" name="B_64">
              <controlPr defaultSize="0" autoFill="0" autoLine="0" autoPict="0">
                <anchor moveWithCells="1">
                  <from>
                    <xdr:col>10</xdr:col>
                    <xdr:colOff>371475</xdr:colOff>
                    <xdr:row>14</xdr:row>
                    <xdr:rowOff>133350</xdr:rowOff>
                  </from>
                  <to>
                    <xdr:col>10</xdr:col>
                    <xdr:colOff>590550</xdr:colOff>
                    <xdr:row>14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3" r:id="rId94" name="B_69">
              <controlPr defaultSize="0" autoFill="0" autoLine="0" autoPict="0">
                <anchor moveWithCells="1">
                  <from>
                    <xdr:col>7</xdr:col>
                    <xdr:colOff>314325</xdr:colOff>
                    <xdr:row>15</xdr:row>
                    <xdr:rowOff>123825</xdr:rowOff>
                  </from>
                  <to>
                    <xdr:col>7</xdr:col>
                    <xdr:colOff>628650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4" r:id="rId95" name="B_70">
              <controlPr defaultSize="0" autoFill="0" autoLine="0" autoPict="0">
                <anchor moveWithCells="1">
                  <from>
                    <xdr:col>8</xdr:col>
                    <xdr:colOff>304800</xdr:colOff>
                    <xdr:row>15</xdr:row>
                    <xdr:rowOff>104775</xdr:rowOff>
                  </from>
                  <to>
                    <xdr:col>8</xdr:col>
                    <xdr:colOff>723900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5" r:id="rId96" name="B_71">
              <controlPr defaultSize="0" autoFill="0" autoLine="0" autoPict="0">
                <anchor moveWithCells="1">
                  <from>
                    <xdr:col>9</xdr:col>
                    <xdr:colOff>247650</xdr:colOff>
                    <xdr:row>15</xdr:row>
                    <xdr:rowOff>95250</xdr:rowOff>
                  </from>
                  <to>
                    <xdr:col>9</xdr:col>
                    <xdr:colOff>590550</xdr:colOff>
                    <xdr:row>15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6" r:id="rId97" name="Group Box 100">
              <controlPr defaultSize="0" autoFill="0" autoPict="0">
                <anchor moveWithCells="1">
                  <from>
                    <xdr:col>7</xdr:col>
                    <xdr:colOff>57150</xdr:colOff>
                    <xdr:row>15</xdr:row>
                    <xdr:rowOff>28575</xdr:rowOff>
                  </from>
                  <to>
                    <xdr:col>10</xdr:col>
                    <xdr:colOff>762000</xdr:colOff>
                    <xdr:row>15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7" r:id="rId98" name="B_72">
              <controlPr defaultSize="0" autoFill="0" autoLine="0" autoPict="0">
                <anchor moveWithCells="1">
                  <from>
                    <xdr:col>10</xdr:col>
                    <xdr:colOff>361950</xdr:colOff>
                    <xdr:row>15</xdr:row>
                    <xdr:rowOff>123825</xdr:rowOff>
                  </from>
                  <to>
                    <xdr:col>10</xdr:col>
                    <xdr:colOff>590550</xdr:colOff>
                    <xdr:row>15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" r:id="rId99" name="B_77">
              <controlPr defaultSize="0" autoFill="0" autoLine="0" autoPict="0">
                <anchor moveWithCells="1">
                  <from>
                    <xdr:col>7</xdr:col>
                    <xdr:colOff>314325</xdr:colOff>
                    <xdr:row>16</xdr:row>
                    <xdr:rowOff>133350</xdr:rowOff>
                  </from>
                  <to>
                    <xdr:col>7</xdr:col>
                    <xdr:colOff>628650</xdr:colOff>
                    <xdr:row>16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9" r:id="rId100" name="B_78">
              <controlPr defaultSize="0" autoFill="0" autoLine="0" autoPict="0">
                <anchor moveWithCells="1">
                  <from>
                    <xdr:col>8</xdr:col>
                    <xdr:colOff>304800</xdr:colOff>
                    <xdr:row>16</xdr:row>
                    <xdr:rowOff>114300</xdr:rowOff>
                  </from>
                  <to>
                    <xdr:col>8</xdr:col>
                    <xdr:colOff>723900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0" r:id="rId101" name="B_79">
              <controlPr defaultSize="0" autoFill="0" autoLine="0" autoPict="0">
                <anchor moveWithCells="1">
                  <from>
                    <xdr:col>9</xdr:col>
                    <xdr:colOff>247650</xdr:colOff>
                    <xdr:row>16</xdr:row>
                    <xdr:rowOff>114300</xdr:rowOff>
                  </from>
                  <to>
                    <xdr:col>9</xdr:col>
                    <xdr:colOff>590550</xdr:colOff>
                    <xdr:row>16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1" r:id="rId102" name="Group Box 105">
              <controlPr defaultSize="0" autoFill="0" autoPict="0">
                <anchor moveWithCells="1">
                  <from>
                    <xdr:col>7</xdr:col>
                    <xdr:colOff>57150</xdr:colOff>
                    <xdr:row>16</xdr:row>
                    <xdr:rowOff>38100</xdr:rowOff>
                  </from>
                  <to>
                    <xdr:col>10</xdr:col>
                    <xdr:colOff>762000</xdr:colOff>
                    <xdr:row>16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2" r:id="rId103" name="B_80">
              <controlPr defaultSize="0" autoFill="0" autoLine="0" autoPict="0">
                <anchor moveWithCells="1">
                  <from>
                    <xdr:col>10</xdr:col>
                    <xdr:colOff>361950</xdr:colOff>
                    <xdr:row>16</xdr:row>
                    <xdr:rowOff>133350</xdr:rowOff>
                  </from>
                  <to>
                    <xdr:col>10</xdr:col>
                    <xdr:colOff>590550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3" r:id="rId104" name="B_81">
              <controlPr defaultSize="0" autoFill="0" autoLine="0" autoPict="0">
                <anchor moveWithCells="1">
                  <from>
                    <xdr:col>7</xdr:col>
                    <xdr:colOff>742950</xdr:colOff>
                    <xdr:row>19</xdr:row>
                    <xdr:rowOff>95250</xdr:rowOff>
                  </from>
                  <to>
                    <xdr:col>8</xdr:col>
                    <xdr:colOff>390525</xdr:colOff>
                    <xdr:row>19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4" r:id="rId105" name="B_82">
              <controlPr defaultSize="0" autoFill="0" autoLine="0" autoPict="0">
                <anchor moveWithCells="1">
                  <from>
                    <xdr:col>9</xdr:col>
                    <xdr:colOff>695325</xdr:colOff>
                    <xdr:row>19</xdr:row>
                    <xdr:rowOff>95250</xdr:rowOff>
                  </from>
                  <to>
                    <xdr:col>10</xdr:col>
                    <xdr:colOff>438150</xdr:colOff>
                    <xdr:row>19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5" r:id="rId106" name="Group Box 109">
              <controlPr defaultSize="0" autoFill="0" autoPict="0">
                <anchor moveWithCells="1">
                  <from>
                    <xdr:col>7</xdr:col>
                    <xdr:colOff>409575</xdr:colOff>
                    <xdr:row>19</xdr:row>
                    <xdr:rowOff>38100</xdr:rowOff>
                  </from>
                  <to>
                    <xdr:col>10</xdr:col>
                    <xdr:colOff>495300</xdr:colOff>
                    <xdr:row>19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6" r:id="rId107" name="B_83">
              <controlPr defaultSize="0" autoFill="0" autoLine="0" autoPict="0">
                <anchor moveWithCells="1">
                  <from>
                    <xdr:col>7</xdr:col>
                    <xdr:colOff>762000</xdr:colOff>
                    <xdr:row>20</xdr:row>
                    <xdr:rowOff>95250</xdr:rowOff>
                  </from>
                  <to>
                    <xdr:col>8</xdr:col>
                    <xdr:colOff>400050</xdr:colOff>
                    <xdr:row>20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7" r:id="rId108" name="B_84">
              <controlPr defaultSize="0" autoFill="0" autoLine="0" autoPict="0">
                <anchor moveWithCells="1">
                  <from>
                    <xdr:col>9</xdr:col>
                    <xdr:colOff>704850</xdr:colOff>
                    <xdr:row>20</xdr:row>
                    <xdr:rowOff>95250</xdr:rowOff>
                  </from>
                  <to>
                    <xdr:col>10</xdr:col>
                    <xdr:colOff>438150</xdr:colOff>
                    <xdr:row>20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8" r:id="rId109" name="Group Box 112">
              <controlPr defaultSize="0" autoFill="0" autoPict="0">
                <anchor moveWithCells="1">
                  <from>
                    <xdr:col>7</xdr:col>
                    <xdr:colOff>419100</xdr:colOff>
                    <xdr:row>20</xdr:row>
                    <xdr:rowOff>38100</xdr:rowOff>
                  </from>
                  <to>
                    <xdr:col>10</xdr:col>
                    <xdr:colOff>504825</xdr:colOff>
                    <xdr:row>20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9" r:id="rId110" name="B_85">
              <controlPr defaultSize="0" autoFill="0" autoLine="0" autoPict="0">
                <anchor moveWithCells="1">
                  <from>
                    <xdr:col>7</xdr:col>
                    <xdr:colOff>771525</xdr:colOff>
                    <xdr:row>21</xdr:row>
                    <xdr:rowOff>95250</xdr:rowOff>
                  </from>
                  <to>
                    <xdr:col>8</xdr:col>
                    <xdr:colOff>400050</xdr:colOff>
                    <xdr:row>21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0" r:id="rId111" name="B_86">
              <controlPr defaultSize="0" autoFill="0" autoLine="0" autoPict="0">
                <anchor moveWithCells="1">
                  <from>
                    <xdr:col>9</xdr:col>
                    <xdr:colOff>704850</xdr:colOff>
                    <xdr:row>21</xdr:row>
                    <xdr:rowOff>95250</xdr:rowOff>
                  </from>
                  <to>
                    <xdr:col>10</xdr:col>
                    <xdr:colOff>438150</xdr:colOff>
                    <xdr:row>21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1" r:id="rId112" name="Group Box 115">
              <controlPr defaultSize="0" autoFill="0" autoPict="0">
                <anchor moveWithCells="1">
                  <from>
                    <xdr:col>7</xdr:col>
                    <xdr:colOff>419100</xdr:colOff>
                    <xdr:row>21</xdr:row>
                    <xdr:rowOff>28575</xdr:rowOff>
                  </from>
                  <to>
                    <xdr:col>10</xdr:col>
                    <xdr:colOff>504825</xdr:colOff>
                    <xdr:row>21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5" r:id="rId113" name="B_87">
              <controlPr defaultSize="0" autoFill="0" autoLine="0" autoPict="0">
                <anchor moveWithCells="1">
                  <from>
                    <xdr:col>8</xdr:col>
                    <xdr:colOff>0</xdr:colOff>
                    <xdr:row>22</xdr:row>
                    <xdr:rowOff>114300</xdr:rowOff>
                  </from>
                  <to>
                    <xdr:col>8</xdr:col>
                    <xdr:colOff>400050</xdr:colOff>
                    <xdr:row>22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6" r:id="rId114" name="B_88">
              <controlPr defaultSize="0" autoFill="0" autoLine="0" autoPict="0">
                <anchor moveWithCells="1">
                  <from>
                    <xdr:col>10</xdr:col>
                    <xdr:colOff>0</xdr:colOff>
                    <xdr:row>22</xdr:row>
                    <xdr:rowOff>114300</xdr:rowOff>
                  </from>
                  <to>
                    <xdr:col>10</xdr:col>
                    <xdr:colOff>447675</xdr:colOff>
                    <xdr:row>22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7" r:id="rId115" name="Group Box 121">
              <controlPr defaultSize="0" autoFill="0" autoPict="0">
                <anchor moveWithCells="1">
                  <from>
                    <xdr:col>7</xdr:col>
                    <xdr:colOff>428625</xdr:colOff>
                    <xdr:row>22</xdr:row>
                    <xdr:rowOff>47625</xdr:rowOff>
                  </from>
                  <to>
                    <xdr:col>10</xdr:col>
                    <xdr:colOff>514350</xdr:colOff>
                    <xdr:row>22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8" r:id="rId116" name="B_89">
              <controlPr defaultSize="0" autoFill="0" autoLine="0" autoPict="0">
                <anchor moveWithCells="1">
                  <from>
                    <xdr:col>8</xdr:col>
                    <xdr:colOff>0</xdr:colOff>
                    <xdr:row>23</xdr:row>
                    <xdr:rowOff>95250</xdr:rowOff>
                  </from>
                  <to>
                    <xdr:col>8</xdr:col>
                    <xdr:colOff>400050</xdr:colOff>
                    <xdr:row>23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9" r:id="rId117" name="B_90">
              <controlPr defaultSize="0" autoFill="0" autoLine="0" autoPict="0">
                <anchor moveWithCells="1">
                  <from>
                    <xdr:col>9</xdr:col>
                    <xdr:colOff>704850</xdr:colOff>
                    <xdr:row>23</xdr:row>
                    <xdr:rowOff>123825</xdr:rowOff>
                  </from>
                  <to>
                    <xdr:col>10</xdr:col>
                    <xdr:colOff>447675</xdr:colOff>
                    <xdr:row>23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0" r:id="rId118" name="Group Box 124">
              <controlPr defaultSize="0" autoFill="0" autoPict="0">
                <anchor moveWithCells="1">
                  <from>
                    <xdr:col>7</xdr:col>
                    <xdr:colOff>428625</xdr:colOff>
                    <xdr:row>23</xdr:row>
                    <xdr:rowOff>28575</xdr:rowOff>
                  </from>
                  <to>
                    <xdr:col>10</xdr:col>
                    <xdr:colOff>514350</xdr:colOff>
                    <xdr:row>23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4" r:id="rId119" name="B_91">
              <controlPr defaultSize="0" autoFill="0" autoLine="0" autoPict="0">
                <anchor moveWithCells="1">
                  <from>
                    <xdr:col>7</xdr:col>
                    <xdr:colOff>800100</xdr:colOff>
                    <xdr:row>24</xdr:row>
                    <xdr:rowOff>95250</xdr:rowOff>
                  </from>
                  <to>
                    <xdr:col>8</xdr:col>
                    <xdr:colOff>400050</xdr:colOff>
                    <xdr:row>24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5" r:id="rId120" name="B_92">
              <controlPr defaultSize="0" autoFill="0" autoLine="0" autoPict="0">
                <anchor moveWithCells="1">
                  <from>
                    <xdr:col>9</xdr:col>
                    <xdr:colOff>704850</xdr:colOff>
                    <xdr:row>24</xdr:row>
                    <xdr:rowOff>95250</xdr:rowOff>
                  </from>
                  <to>
                    <xdr:col>10</xdr:col>
                    <xdr:colOff>447675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6" r:id="rId121" name="Group Box 130">
              <controlPr defaultSize="0" autoFill="0" autoPict="0">
                <anchor moveWithCells="1">
                  <from>
                    <xdr:col>7</xdr:col>
                    <xdr:colOff>428625</xdr:colOff>
                    <xdr:row>24</xdr:row>
                    <xdr:rowOff>28575</xdr:rowOff>
                  </from>
                  <to>
                    <xdr:col>10</xdr:col>
                    <xdr:colOff>514350</xdr:colOff>
                    <xdr:row>24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7" r:id="rId122" name="B_93">
              <controlPr defaultSize="0" autoFill="0" autoLine="0" autoPict="0">
                <anchor moveWithCells="1">
                  <from>
                    <xdr:col>7</xdr:col>
                    <xdr:colOff>790575</xdr:colOff>
                    <xdr:row>25</xdr:row>
                    <xdr:rowOff>161925</xdr:rowOff>
                  </from>
                  <to>
                    <xdr:col>8</xdr:col>
                    <xdr:colOff>400050</xdr:colOff>
                    <xdr:row>25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8" r:id="rId123" name="B_94">
              <controlPr defaultSize="0" autoFill="0" autoLine="0" autoPict="0">
                <anchor moveWithCells="1">
                  <from>
                    <xdr:col>9</xdr:col>
                    <xdr:colOff>704850</xdr:colOff>
                    <xdr:row>25</xdr:row>
                    <xdr:rowOff>161925</xdr:rowOff>
                  </from>
                  <to>
                    <xdr:col>10</xdr:col>
                    <xdr:colOff>447675</xdr:colOff>
                    <xdr:row>25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9" r:id="rId124" name="Group Box 133">
              <controlPr defaultSize="0" autoFill="0" autoPict="0">
                <anchor moveWithCells="1">
                  <from>
                    <xdr:col>7</xdr:col>
                    <xdr:colOff>428625</xdr:colOff>
                    <xdr:row>25</xdr:row>
                    <xdr:rowOff>95250</xdr:rowOff>
                  </from>
                  <to>
                    <xdr:col>10</xdr:col>
                    <xdr:colOff>514350</xdr:colOff>
                    <xdr:row>25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0" r:id="rId125" name="B_95">
              <controlPr defaultSize="0" autoFill="0" autoLine="0" autoPict="0">
                <anchor moveWithCells="1">
                  <from>
                    <xdr:col>7</xdr:col>
                    <xdr:colOff>790575</xdr:colOff>
                    <xdr:row>26</xdr:row>
                    <xdr:rowOff>104775</xdr:rowOff>
                  </from>
                  <to>
                    <xdr:col>8</xdr:col>
                    <xdr:colOff>400050</xdr:colOff>
                    <xdr:row>26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1" r:id="rId126" name="B_96">
              <controlPr defaultSize="0" autoFill="0" autoLine="0" autoPict="0">
                <anchor moveWithCells="1">
                  <from>
                    <xdr:col>9</xdr:col>
                    <xdr:colOff>704850</xdr:colOff>
                    <xdr:row>26</xdr:row>
                    <xdr:rowOff>104775</xdr:rowOff>
                  </from>
                  <to>
                    <xdr:col>10</xdr:col>
                    <xdr:colOff>447675</xdr:colOff>
                    <xdr:row>26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2" r:id="rId127" name="Group Box 136">
              <controlPr defaultSize="0" autoFill="0" autoPict="0">
                <anchor moveWithCells="1">
                  <from>
                    <xdr:col>7</xdr:col>
                    <xdr:colOff>428625</xdr:colOff>
                    <xdr:row>26</xdr:row>
                    <xdr:rowOff>47625</xdr:rowOff>
                  </from>
                  <to>
                    <xdr:col>10</xdr:col>
                    <xdr:colOff>514350</xdr:colOff>
                    <xdr:row>26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I15"/>
  <sheetViews>
    <sheetView showGridLines="0" showRowColHeaders="0" zoomScaleNormal="100" workbookViewId="0">
      <selection activeCell="B3" sqref="B3:D3"/>
    </sheetView>
  </sheetViews>
  <sheetFormatPr baseColWidth="10" defaultColWidth="0" defaultRowHeight="15" zeroHeight="1" x14ac:dyDescent="0.25"/>
  <cols>
    <col min="1" max="1" width="20.7109375" customWidth="1"/>
    <col min="2" max="2" width="10.7109375" style="48" customWidth="1"/>
    <col min="3" max="3" width="30.7109375" customWidth="1"/>
    <col min="4" max="4" width="40.7109375" customWidth="1"/>
    <col min="5" max="5" width="10.7109375" style="4" customWidth="1"/>
    <col min="6" max="6" width="10.7109375" style="13" hidden="1" customWidth="1"/>
    <col min="7" max="9" width="11.5703125" style="13" hidden="1" customWidth="1"/>
    <col min="10" max="16384" width="2.7109375" hidden="1"/>
  </cols>
  <sheetData>
    <row r="1" spans="1:9" x14ac:dyDescent="0.25">
      <c r="A1" s="4"/>
      <c r="B1" s="72"/>
      <c r="C1" s="4"/>
      <c r="D1" s="4"/>
      <c r="F1" s="23"/>
      <c r="H1" s="14" t="s">
        <v>168</v>
      </c>
      <c r="I1" s="13">
        <v>1</v>
      </c>
    </row>
    <row r="2" spans="1:9" ht="15.75" thickBot="1" x14ac:dyDescent="0.3">
      <c r="A2" s="4"/>
      <c r="B2" s="72"/>
      <c r="C2" s="4"/>
      <c r="D2" s="4"/>
      <c r="F2" s="23"/>
    </row>
    <row r="3" spans="1:9" x14ac:dyDescent="0.25">
      <c r="A3" s="4"/>
      <c r="B3" s="202" t="s">
        <v>368</v>
      </c>
      <c r="C3" s="203"/>
      <c r="D3" s="204"/>
      <c r="E3" s="149"/>
      <c r="F3" s="23"/>
      <c r="G3" s="14" t="s">
        <v>28</v>
      </c>
      <c r="H3" s="14" t="s">
        <v>8</v>
      </c>
      <c r="I3" s="14" t="s">
        <v>9</v>
      </c>
    </row>
    <row r="4" spans="1:9" ht="97.9" customHeight="1" x14ac:dyDescent="0.25">
      <c r="A4" s="4"/>
      <c r="B4" s="89">
        <v>6</v>
      </c>
      <c r="C4" s="77" t="s">
        <v>48</v>
      </c>
      <c r="D4" s="77"/>
      <c r="E4" s="119"/>
      <c r="F4" s="23"/>
      <c r="G4" s="24">
        <v>6</v>
      </c>
      <c r="H4" s="24">
        <v>0</v>
      </c>
      <c r="I4" s="24" t="b">
        <f>IF(H4=1,1,IF(H4=2,0.3,IF(H4=3,0.1,IF(H4=4,0.03))))</f>
        <v>0</v>
      </c>
    </row>
    <row r="5" spans="1:9" ht="60.6" customHeight="1" x14ac:dyDescent="0.25">
      <c r="A5" s="4"/>
      <c r="B5" s="89">
        <v>7</v>
      </c>
      <c r="C5" s="77" t="s">
        <v>50</v>
      </c>
      <c r="D5" s="77"/>
      <c r="E5" s="119"/>
      <c r="F5" s="34"/>
      <c r="G5" s="24" t="s">
        <v>52</v>
      </c>
      <c r="H5" s="24">
        <v>0</v>
      </c>
      <c r="I5" s="24" t="b">
        <f>IF(H5=1,3,IF(H5=2,1))</f>
        <v>0</v>
      </c>
    </row>
    <row r="6" spans="1:9" ht="76.900000000000006" customHeight="1" x14ac:dyDescent="0.25">
      <c r="A6" s="4"/>
      <c r="B6" s="89">
        <v>8</v>
      </c>
      <c r="C6" s="77" t="s">
        <v>51</v>
      </c>
      <c r="D6" s="77"/>
      <c r="E6" s="119"/>
      <c r="F6" s="34"/>
      <c r="G6" s="24" t="s">
        <v>53</v>
      </c>
      <c r="H6" s="24">
        <v>0</v>
      </c>
      <c r="I6" s="24" t="b">
        <f>IF(H6=1,10,IF(H6=2,3,IF(H6=3,1)))</f>
        <v>0</v>
      </c>
    </row>
    <row r="7" spans="1:9" ht="76.150000000000006" customHeight="1" x14ac:dyDescent="0.25">
      <c r="A7" s="4"/>
      <c r="B7" s="89">
        <v>9</v>
      </c>
      <c r="C7" s="77" t="s">
        <v>375</v>
      </c>
      <c r="D7" s="87"/>
      <c r="E7" s="85"/>
      <c r="F7" s="34"/>
      <c r="G7" s="24" t="s">
        <v>54</v>
      </c>
      <c r="H7" s="24">
        <v>0</v>
      </c>
      <c r="I7" s="24" t="b">
        <f>IF(H7=1,0.3,IF(H7=2,1,IF(H7=3,3,IF(H7=4,10))))</f>
        <v>0</v>
      </c>
    </row>
    <row r="8" spans="1:9" ht="64.150000000000006" customHeight="1" x14ac:dyDescent="0.25">
      <c r="A8" s="4"/>
      <c r="B8" s="89">
        <v>10</v>
      </c>
      <c r="C8" s="77" t="s">
        <v>65</v>
      </c>
      <c r="D8" s="77"/>
      <c r="E8" s="119"/>
      <c r="F8" s="34"/>
      <c r="G8" s="24" t="s">
        <v>67</v>
      </c>
      <c r="H8" s="24">
        <v>0</v>
      </c>
      <c r="I8" s="24" t="b">
        <f>IF(H8=1,1,IF(H8=2,0.3))</f>
        <v>0</v>
      </c>
    </row>
    <row r="9" spans="1:9" ht="67.150000000000006" customHeight="1" x14ac:dyDescent="0.25">
      <c r="A9" s="4"/>
      <c r="B9" s="89">
        <v>10.1</v>
      </c>
      <c r="C9" s="77" t="s">
        <v>376</v>
      </c>
      <c r="D9" s="77"/>
      <c r="E9" s="119"/>
      <c r="F9" s="23"/>
      <c r="G9" s="24" t="s">
        <v>66</v>
      </c>
      <c r="H9" s="24">
        <v>0</v>
      </c>
      <c r="I9" s="24" t="b">
        <f>IF(H9=1,1,IF(H9=2,3,IF(H9=3,10)))</f>
        <v>0</v>
      </c>
    </row>
    <row r="10" spans="1:9" ht="72" customHeight="1" thickBot="1" x14ac:dyDescent="0.3">
      <c r="A10" s="4"/>
      <c r="B10" s="89">
        <v>11</v>
      </c>
      <c r="C10" s="77" t="s">
        <v>68</v>
      </c>
      <c r="D10" s="77"/>
      <c r="E10" s="119"/>
      <c r="F10" s="23"/>
      <c r="G10" s="24">
        <v>12</v>
      </c>
      <c r="H10" s="24">
        <v>0</v>
      </c>
      <c r="I10" s="24" t="b">
        <f>IF(H10=1,1,IF(H10=2,0.3))</f>
        <v>0</v>
      </c>
    </row>
    <row r="11" spans="1:9" ht="15.75" thickBot="1" x14ac:dyDescent="0.3">
      <c r="A11" s="4"/>
      <c r="B11" s="72"/>
      <c r="C11" s="4"/>
      <c r="D11" s="59"/>
      <c r="E11" s="59"/>
      <c r="F11" s="23"/>
      <c r="H11" s="27" t="s">
        <v>144</v>
      </c>
      <c r="I11" s="37"/>
    </row>
    <row r="12" spans="1:9" x14ac:dyDescent="0.25">
      <c r="D12" s="7"/>
      <c r="E12" s="59"/>
    </row>
    <row r="14" spans="1:9" x14ac:dyDescent="0.25"/>
    <row r="15" spans="1:9" x14ac:dyDescent="0.25"/>
  </sheetData>
  <sheetProtection algorithmName="SHA-512" hashValue="MlRdEiYaV0OkIK+LaTb6eeU0PjckzvR4GeTaFXU5jY2jT1ZQEYGivVnj9HFwZhqr2tcCi3XOtzFdaFSRWnzQHg==" saltValue="oQKV52isfo1XDnOcCiK+Vg==" spinCount="100000" sheet="1" objects="1" scenarios="1" selectLockedCells="1"/>
  <mergeCells count="1">
    <mergeCell ref="B3:D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_1">
              <controlPr defaultSize="0" autoFill="0" autoLine="0" autoPict="0">
                <anchor moveWithCells="1">
                  <from>
                    <xdr:col>3</xdr:col>
                    <xdr:colOff>171450</xdr:colOff>
                    <xdr:row>3</xdr:row>
                    <xdr:rowOff>247650</xdr:rowOff>
                  </from>
                  <to>
                    <xdr:col>3</xdr:col>
                    <xdr:colOff>1171575</xdr:colOff>
                    <xdr:row>3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_2">
              <controlPr defaultSize="0" autoFill="0" autoLine="0" autoPict="0">
                <anchor moveWithCells="1">
                  <from>
                    <xdr:col>3</xdr:col>
                    <xdr:colOff>171450</xdr:colOff>
                    <xdr:row>3</xdr:row>
                    <xdr:rowOff>419100</xdr:rowOff>
                  </from>
                  <to>
                    <xdr:col>3</xdr:col>
                    <xdr:colOff>1924050</xdr:colOff>
                    <xdr:row>3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_3">
              <controlPr defaultSize="0" autoFill="0" autoLine="0" autoPict="0">
                <anchor moveWithCells="1">
                  <from>
                    <xdr:col>3</xdr:col>
                    <xdr:colOff>171450</xdr:colOff>
                    <xdr:row>3</xdr:row>
                    <xdr:rowOff>581025</xdr:rowOff>
                  </from>
                  <to>
                    <xdr:col>3</xdr:col>
                    <xdr:colOff>2590800</xdr:colOff>
                    <xdr:row>3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_4">
              <controlPr defaultSize="0" autoFill="0" autoLine="0" autoPict="0">
                <anchor moveWithCells="1">
                  <from>
                    <xdr:col>3</xdr:col>
                    <xdr:colOff>171450</xdr:colOff>
                    <xdr:row>3</xdr:row>
                    <xdr:rowOff>781050</xdr:rowOff>
                  </from>
                  <to>
                    <xdr:col>3</xdr:col>
                    <xdr:colOff>2590800</xdr:colOff>
                    <xdr:row>3</xdr:row>
                    <xdr:rowOff>1019175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Group Box 5">
              <controlPr defaultSize="0" autoFill="0" autoPict="0">
                <anchor moveWithCells="1">
                  <from>
                    <xdr:col>3</xdr:col>
                    <xdr:colOff>66675</xdr:colOff>
                    <xdr:row>3</xdr:row>
                    <xdr:rowOff>95250</xdr:rowOff>
                  </from>
                  <to>
                    <xdr:col>3</xdr:col>
                    <xdr:colOff>2657475</xdr:colOff>
                    <xdr:row>3</xdr:row>
                    <xdr:rowOff>1123950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9" name="B_5">
              <controlPr defaultSize="0" autoFill="0" autoLine="0" autoPict="0">
                <anchor moveWithCells="1">
                  <from>
                    <xdr:col>3</xdr:col>
                    <xdr:colOff>142875</xdr:colOff>
                    <xdr:row>4</xdr:row>
                    <xdr:rowOff>228600</xdr:rowOff>
                  </from>
                  <to>
                    <xdr:col>3</xdr:col>
                    <xdr:colOff>1200150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10" name="B_6">
              <controlPr defaultSize="0" autoFill="0" autoLine="0" autoPict="0">
                <anchor moveWithCells="1">
                  <from>
                    <xdr:col>3</xdr:col>
                    <xdr:colOff>142875</xdr:colOff>
                    <xdr:row>4</xdr:row>
                    <xdr:rowOff>419100</xdr:rowOff>
                  </from>
                  <to>
                    <xdr:col>3</xdr:col>
                    <xdr:colOff>1200150</xdr:colOff>
                    <xdr:row>4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11" name="Group Box 22">
              <controlPr defaultSize="0" autoFill="0" autoPict="0">
                <anchor moveWithCells="1">
                  <from>
                    <xdr:col>3</xdr:col>
                    <xdr:colOff>57150</xdr:colOff>
                    <xdr:row>4</xdr:row>
                    <xdr:rowOff>123825</xdr:rowOff>
                  </from>
                  <to>
                    <xdr:col>3</xdr:col>
                    <xdr:colOff>2286000</xdr:colOff>
                    <xdr:row>4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12" name="B_7">
              <controlPr defaultSize="0" autoFill="0" autoLine="0" autoPict="0">
                <anchor moveWithCells="1">
                  <from>
                    <xdr:col>3</xdr:col>
                    <xdr:colOff>152400</xdr:colOff>
                    <xdr:row>5</xdr:row>
                    <xdr:rowOff>180975</xdr:rowOff>
                  </from>
                  <to>
                    <xdr:col>3</xdr:col>
                    <xdr:colOff>2181225</xdr:colOff>
                    <xdr:row>5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13" name="B_8">
              <controlPr defaultSize="0" autoFill="0" autoLine="0" autoPict="0">
                <anchor moveWithCells="1">
                  <from>
                    <xdr:col>3</xdr:col>
                    <xdr:colOff>152400</xdr:colOff>
                    <xdr:row>5</xdr:row>
                    <xdr:rowOff>352425</xdr:rowOff>
                  </from>
                  <to>
                    <xdr:col>3</xdr:col>
                    <xdr:colOff>2190750</xdr:colOff>
                    <xdr:row>5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14" name="B_9">
              <controlPr defaultSize="0" autoFill="0" autoLine="0" autoPict="0">
                <anchor moveWithCells="1">
                  <from>
                    <xdr:col>3</xdr:col>
                    <xdr:colOff>152400</xdr:colOff>
                    <xdr:row>5</xdr:row>
                    <xdr:rowOff>523875</xdr:rowOff>
                  </from>
                  <to>
                    <xdr:col>3</xdr:col>
                    <xdr:colOff>2228850</xdr:colOff>
                    <xdr:row>5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15" name="Group Box 26">
              <controlPr defaultSize="0" autoFill="0" autoPict="0">
                <anchor moveWithCells="1">
                  <from>
                    <xdr:col>3</xdr:col>
                    <xdr:colOff>66675</xdr:colOff>
                    <xdr:row>5</xdr:row>
                    <xdr:rowOff>85725</xdr:rowOff>
                  </from>
                  <to>
                    <xdr:col>3</xdr:col>
                    <xdr:colOff>2266950</xdr:colOff>
                    <xdr:row>5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16" name="B_10">
              <controlPr defaultSize="0" autoFill="0" autoLine="0" autoPict="0">
                <anchor moveWithCells="1">
                  <from>
                    <xdr:col>3</xdr:col>
                    <xdr:colOff>171450</xdr:colOff>
                    <xdr:row>6</xdr:row>
                    <xdr:rowOff>171450</xdr:rowOff>
                  </from>
                  <to>
                    <xdr:col>3</xdr:col>
                    <xdr:colOff>2152650</xdr:colOff>
                    <xdr:row>6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17" name="B_11">
              <controlPr defaultSize="0" autoFill="0" autoLine="0" autoPict="0">
                <anchor moveWithCells="1">
                  <from>
                    <xdr:col>3</xdr:col>
                    <xdr:colOff>171450</xdr:colOff>
                    <xdr:row>6</xdr:row>
                    <xdr:rowOff>323850</xdr:rowOff>
                  </from>
                  <to>
                    <xdr:col>3</xdr:col>
                    <xdr:colOff>2152650</xdr:colOff>
                    <xdr:row>6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18" name="B_12">
              <controlPr defaultSize="0" autoFill="0" autoLine="0" autoPict="0">
                <anchor moveWithCells="1">
                  <from>
                    <xdr:col>3</xdr:col>
                    <xdr:colOff>171450</xdr:colOff>
                    <xdr:row>6</xdr:row>
                    <xdr:rowOff>476250</xdr:rowOff>
                  </from>
                  <to>
                    <xdr:col>3</xdr:col>
                    <xdr:colOff>1228725</xdr:colOff>
                    <xdr:row>6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19" name="B_13">
              <controlPr defaultSize="0" autoFill="0" autoLine="0" autoPict="0">
                <anchor moveWithCells="1">
                  <from>
                    <xdr:col>3</xdr:col>
                    <xdr:colOff>171450</xdr:colOff>
                    <xdr:row>6</xdr:row>
                    <xdr:rowOff>628650</xdr:rowOff>
                  </from>
                  <to>
                    <xdr:col>3</xdr:col>
                    <xdr:colOff>1228725</xdr:colOff>
                    <xdr:row>6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20" name="Group Box 35">
              <controlPr defaultSize="0" autoFill="0" autoPict="0">
                <anchor moveWithCells="1">
                  <from>
                    <xdr:col>3</xdr:col>
                    <xdr:colOff>85725</xdr:colOff>
                    <xdr:row>6</xdr:row>
                    <xdr:rowOff>76200</xdr:rowOff>
                  </from>
                  <to>
                    <xdr:col>3</xdr:col>
                    <xdr:colOff>2276475</xdr:colOff>
                    <xdr:row>6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21" name="B_14">
              <controlPr defaultSize="0" autoFill="0" autoLine="0" autoPict="0">
                <anchor moveWithCells="1">
                  <from>
                    <xdr:col>3</xdr:col>
                    <xdr:colOff>180975</xdr:colOff>
                    <xdr:row>7</xdr:row>
                    <xdr:rowOff>161925</xdr:rowOff>
                  </from>
                  <to>
                    <xdr:col>3</xdr:col>
                    <xdr:colOff>1238250</xdr:colOff>
                    <xdr:row>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22" name="B_15">
              <controlPr defaultSize="0" autoFill="0" autoLine="0" autoPict="0">
                <anchor moveWithCells="1">
                  <from>
                    <xdr:col>3</xdr:col>
                    <xdr:colOff>180975</xdr:colOff>
                    <xdr:row>7</xdr:row>
                    <xdr:rowOff>342900</xdr:rowOff>
                  </from>
                  <to>
                    <xdr:col>3</xdr:col>
                    <xdr:colOff>1238250</xdr:colOff>
                    <xdr:row>7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23" name="Group Box 38">
              <controlPr defaultSize="0" autoFill="0" autoPict="0">
                <anchor moveWithCells="1">
                  <from>
                    <xdr:col>3</xdr:col>
                    <xdr:colOff>95250</xdr:colOff>
                    <xdr:row>7</xdr:row>
                    <xdr:rowOff>47625</xdr:rowOff>
                  </from>
                  <to>
                    <xdr:col>3</xdr:col>
                    <xdr:colOff>2266950</xdr:colOff>
                    <xdr:row>7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24" name="B_16">
              <controlPr defaultSize="0" autoFill="0" autoLine="0" autoPict="0">
                <anchor moveWithCells="1">
                  <from>
                    <xdr:col>3</xdr:col>
                    <xdr:colOff>171450</xdr:colOff>
                    <xdr:row>8</xdr:row>
                    <xdr:rowOff>142875</xdr:rowOff>
                  </from>
                  <to>
                    <xdr:col>3</xdr:col>
                    <xdr:colOff>2000250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25" name="B_17">
              <controlPr defaultSize="0" autoFill="0" autoLine="0" autoPict="0">
                <anchor moveWithCells="1">
                  <from>
                    <xdr:col>3</xdr:col>
                    <xdr:colOff>171450</xdr:colOff>
                    <xdr:row>8</xdr:row>
                    <xdr:rowOff>295275</xdr:rowOff>
                  </from>
                  <to>
                    <xdr:col>3</xdr:col>
                    <xdr:colOff>2000250</xdr:colOff>
                    <xdr:row>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26" name="B_18">
              <controlPr defaultSize="0" autoFill="0" autoLine="0" autoPict="0">
                <anchor moveWithCells="1">
                  <from>
                    <xdr:col>3</xdr:col>
                    <xdr:colOff>171450</xdr:colOff>
                    <xdr:row>8</xdr:row>
                    <xdr:rowOff>438150</xdr:rowOff>
                  </from>
                  <to>
                    <xdr:col>3</xdr:col>
                    <xdr:colOff>2000250</xdr:colOff>
                    <xdr:row>8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27" name="Group Box 42">
              <controlPr defaultSize="0" autoFill="0" autoPict="0">
                <anchor moveWithCells="1">
                  <from>
                    <xdr:col>3</xdr:col>
                    <xdr:colOff>104775</xdr:colOff>
                    <xdr:row>8</xdr:row>
                    <xdr:rowOff>76200</xdr:rowOff>
                  </from>
                  <to>
                    <xdr:col>3</xdr:col>
                    <xdr:colOff>2266950</xdr:colOff>
                    <xdr:row>8</xdr:row>
                    <xdr:rowOff>819150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28" name="B_19">
              <controlPr defaultSize="0" autoFill="0" autoLine="0" autoPict="0">
                <anchor moveWithCells="1">
                  <from>
                    <xdr:col>3</xdr:col>
                    <xdr:colOff>171450</xdr:colOff>
                    <xdr:row>9</xdr:row>
                    <xdr:rowOff>257175</xdr:rowOff>
                  </from>
                  <to>
                    <xdr:col>3</xdr:col>
                    <xdr:colOff>1228725</xdr:colOff>
                    <xdr:row>9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29" name="B_20">
              <controlPr defaultSize="0" autoFill="0" autoLine="0" autoPict="0">
                <anchor moveWithCells="1">
                  <from>
                    <xdr:col>3</xdr:col>
                    <xdr:colOff>171450</xdr:colOff>
                    <xdr:row>9</xdr:row>
                    <xdr:rowOff>428625</xdr:rowOff>
                  </from>
                  <to>
                    <xdr:col>3</xdr:col>
                    <xdr:colOff>1228725</xdr:colOff>
                    <xdr:row>9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30" name="Group Box 45">
              <controlPr defaultSize="0" autoFill="0" autoPict="0">
                <anchor moveWithCells="1">
                  <from>
                    <xdr:col>3</xdr:col>
                    <xdr:colOff>85725</xdr:colOff>
                    <xdr:row>9</xdr:row>
                    <xdr:rowOff>76200</xdr:rowOff>
                  </from>
                  <to>
                    <xdr:col>3</xdr:col>
                    <xdr:colOff>2257425</xdr:colOff>
                    <xdr:row>9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31" name="B_21">
              <controlPr defaultSize="0" autoFill="0" autoLine="0" autoPict="0">
                <anchor moveWithCells="1">
                  <from>
                    <xdr:col>3</xdr:col>
                    <xdr:colOff>742950</xdr:colOff>
                    <xdr:row>4</xdr:row>
                    <xdr:rowOff>228600</xdr:rowOff>
                  </from>
                  <to>
                    <xdr:col>3</xdr:col>
                    <xdr:colOff>1800225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32" name="B_22">
              <controlPr defaultSize="0" autoFill="0" autoLine="0" autoPict="0">
                <anchor moveWithCells="1">
                  <from>
                    <xdr:col>3</xdr:col>
                    <xdr:colOff>152400</xdr:colOff>
                    <xdr:row>5</xdr:row>
                    <xdr:rowOff>714375</xdr:rowOff>
                  </from>
                  <to>
                    <xdr:col>3</xdr:col>
                    <xdr:colOff>1200150</xdr:colOff>
                    <xdr:row>5</xdr:row>
                    <xdr:rowOff>866775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33" name="B_23">
              <controlPr defaultSize="0" autoFill="0" autoLine="0" autoPict="0">
                <anchor moveWithCells="1">
                  <from>
                    <xdr:col>3</xdr:col>
                    <xdr:colOff>1352550</xdr:colOff>
                    <xdr:row>6</xdr:row>
                    <xdr:rowOff>628650</xdr:rowOff>
                  </from>
                  <to>
                    <xdr:col>3</xdr:col>
                    <xdr:colOff>2009775</xdr:colOff>
                    <xdr:row>6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34" name="B_24">
              <controlPr defaultSize="0" autoFill="0" autoLine="0" autoPict="0">
                <anchor moveWithCells="1">
                  <from>
                    <xdr:col>3</xdr:col>
                    <xdr:colOff>180975</xdr:colOff>
                    <xdr:row>7</xdr:row>
                    <xdr:rowOff>514350</xdr:rowOff>
                  </from>
                  <to>
                    <xdr:col>3</xdr:col>
                    <xdr:colOff>1238250</xdr:colOff>
                    <xdr:row>7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35" name="B_25">
              <controlPr defaultSize="0" autoFill="0" autoLine="0" autoPict="0">
                <anchor moveWithCells="1">
                  <from>
                    <xdr:col>3</xdr:col>
                    <xdr:colOff>171450</xdr:colOff>
                    <xdr:row>8</xdr:row>
                    <xdr:rowOff>590550</xdr:rowOff>
                  </from>
                  <to>
                    <xdr:col>3</xdr:col>
                    <xdr:colOff>819150</xdr:colOff>
                    <xdr:row>8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6"/>
  <dimension ref="A1:XFC25"/>
  <sheetViews>
    <sheetView showGridLines="0" showRowColHeaders="0" zoomScaleNormal="100" workbookViewId="0">
      <selection activeCell="B3" sqref="B3:K3"/>
    </sheetView>
  </sheetViews>
  <sheetFormatPr baseColWidth="10" defaultColWidth="0" defaultRowHeight="15" zeroHeight="1" x14ac:dyDescent="0.25"/>
  <cols>
    <col min="1" max="1" width="20.7109375" style="4" customWidth="1"/>
    <col min="2" max="5" width="11.5703125" style="4" customWidth="1"/>
    <col min="6" max="6" width="13.42578125" style="4" bestFit="1" customWidth="1"/>
    <col min="7" max="11" width="11.5703125" style="4" customWidth="1"/>
    <col min="12" max="12" width="10.7109375" style="4" customWidth="1"/>
    <col min="13" max="13" width="14.28515625" hidden="1" customWidth="1"/>
    <col min="14" max="14" width="8.28515625" hidden="1" customWidth="1"/>
    <col min="15" max="15" width="8.7109375" hidden="1" customWidth="1"/>
    <col min="16" max="16" width="8" hidden="1" customWidth="1"/>
    <col min="17" max="17" width="9" hidden="1" customWidth="1"/>
    <col min="18" max="18" width="8.42578125" hidden="1" customWidth="1"/>
    <col min="19" max="19" width="8.28515625" hidden="1" customWidth="1"/>
    <col min="20" max="21" width="11.5703125" hidden="1" customWidth="1"/>
    <col min="22" max="24" width="11.5703125" hidden="1"/>
    <col min="25" max="25" width="21.5703125" hidden="1"/>
    <col min="26" max="27" width="13.42578125" hidden="1"/>
    <col min="28" max="16383" width="11.5703125" hidden="1"/>
    <col min="16384" max="16384" width="3.140625" hidden="1"/>
  </cols>
  <sheetData>
    <row r="1" spans="1:25" x14ac:dyDescent="0.25"/>
    <row r="2" spans="1:25" x14ac:dyDescent="0.25"/>
    <row r="3" spans="1:25" x14ac:dyDescent="0.25">
      <c r="B3" s="205" t="s">
        <v>398</v>
      </c>
      <c r="C3" s="206"/>
      <c r="D3" s="206"/>
      <c r="E3" s="206"/>
      <c r="F3" s="206"/>
      <c r="G3" s="207"/>
      <c r="H3" s="207"/>
      <c r="I3" s="207"/>
      <c r="J3" s="207"/>
      <c r="K3" s="208"/>
      <c r="M3" s="14"/>
      <c r="N3" s="14"/>
      <c r="O3" s="14"/>
      <c r="P3" s="13"/>
      <c r="Q3" s="13"/>
      <c r="R3" s="13"/>
      <c r="S3" s="13"/>
      <c r="T3" s="13"/>
      <c r="U3" s="13"/>
    </row>
    <row r="4" spans="1:25" ht="28.9" customHeight="1" x14ac:dyDescent="0.25">
      <c r="B4" s="107">
        <v>12</v>
      </c>
      <c r="C4" s="211" t="s">
        <v>374</v>
      </c>
      <c r="D4" s="212"/>
      <c r="E4" s="212"/>
      <c r="F4" s="212"/>
      <c r="G4" s="212"/>
      <c r="H4" s="212"/>
      <c r="I4" s="212"/>
      <c r="J4" s="212"/>
      <c r="K4" s="213"/>
      <c r="M4" s="13"/>
      <c r="N4" s="13"/>
      <c r="O4" s="13"/>
      <c r="P4" s="13"/>
      <c r="Q4" s="13"/>
      <c r="R4" s="13"/>
      <c r="S4" s="13"/>
      <c r="T4" s="13"/>
      <c r="U4" s="13"/>
    </row>
    <row r="5" spans="1:25" x14ac:dyDescent="0.25">
      <c r="B5" s="214"/>
      <c r="C5" s="210" t="s">
        <v>69</v>
      </c>
      <c r="D5" s="210"/>
      <c r="E5" s="209" t="s">
        <v>373</v>
      </c>
      <c r="F5" s="209"/>
      <c r="G5" s="209"/>
      <c r="H5" s="209" t="s">
        <v>401</v>
      </c>
      <c r="I5" s="209"/>
      <c r="J5" s="209"/>
      <c r="K5" s="209"/>
      <c r="M5" s="41"/>
      <c r="N5" s="13"/>
      <c r="O5" s="13"/>
      <c r="P5" s="13"/>
      <c r="Q5" s="13"/>
      <c r="R5" s="13"/>
      <c r="S5" s="13"/>
      <c r="T5" s="13"/>
      <c r="U5" s="13"/>
    </row>
    <row r="6" spans="1:25" ht="39" customHeight="1" x14ac:dyDescent="0.25">
      <c r="B6" s="214"/>
      <c r="C6" s="108" t="s">
        <v>399</v>
      </c>
      <c r="D6" s="108" t="s">
        <v>400</v>
      </c>
      <c r="E6" s="108" t="s">
        <v>377</v>
      </c>
      <c r="F6" s="108" t="s">
        <v>403</v>
      </c>
      <c r="G6" s="108" t="s">
        <v>149</v>
      </c>
      <c r="H6" s="108" t="s">
        <v>84</v>
      </c>
      <c r="I6" s="108" t="s">
        <v>402</v>
      </c>
      <c r="J6" s="109" t="s">
        <v>136</v>
      </c>
      <c r="K6" s="108" t="s">
        <v>150</v>
      </c>
      <c r="M6" s="42" t="s">
        <v>78</v>
      </c>
      <c r="N6" s="43" t="s">
        <v>79</v>
      </c>
      <c r="O6" s="53" t="s">
        <v>80</v>
      </c>
      <c r="P6" s="43" t="s">
        <v>82</v>
      </c>
      <c r="Q6" s="43" t="s">
        <v>83</v>
      </c>
      <c r="R6" s="43" t="s">
        <v>85</v>
      </c>
      <c r="S6" s="43" t="s">
        <v>86</v>
      </c>
      <c r="T6" s="14" t="s">
        <v>137</v>
      </c>
      <c r="U6" s="13">
        <v>0.3</v>
      </c>
      <c r="V6" s="2"/>
    </row>
    <row r="7" spans="1:25" ht="43.9" customHeight="1" x14ac:dyDescent="0.25">
      <c r="A7" s="110"/>
      <c r="B7" s="111" t="s">
        <v>70</v>
      </c>
      <c r="C7" s="209"/>
      <c r="D7" s="209"/>
      <c r="E7" s="209"/>
      <c r="F7" s="209"/>
      <c r="G7" s="209"/>
      <c r="H7" s="209"/>
      <c r="I7" s="209"/>
      <c r="J7" s="209"/>
      <c r="K7" s="209"/>
      <c r="L7" s="110"/>
      <c r="M7" s="26" t="s">
        <v>70</v>
      </c>
      <c r="N7" s="13">
        <v>0</v>
      </c>
      <c r="O7" s="13" t="b">
        <f>IF(N7=1,0,IF(N7=2,1))</f>
        <v>0</v>
      </c>
      <c r="P7" s="13">
        <v>0</v>
      </c>
      <c r="Q7" s="15">
        <f t="shared" ref="Q7:Q15" si="0">IF(P7=1,0.3,IF(P7=2,0.1,IF(P7=3,0.03,)))</f>
        <v>0</v>
      </c>
      <c r="R7" s="13">
        <v>0</v>
      </c>
      <c r="S7" s="15" t="b">
        <f>IF(R7=1,0.3,IF(R7=2,1,IF(R7=3,3,IF(R7=4,10))))</f>
        <v>0</v>
      </c>
      <c r="T7" s="14" t="s">
        <v>134</v>
      </c>
      <c r="U7" s="13">
        <f>IF(O7=1,Q7*S7*$U$6,1)</f>
        <v>1</v>
      </c>
    </row>
    <row r="8" spans="1:25" ht="40.15" customHeight="1" x14ac:dyDescent="0.25">
      <c r="B8" s="111" t="s">
        <v>71</v>
      </c>
      <c r="C8" s="209"/>
      <c r="D8" s="209"/>
      <c r="E8" s="209"/>
      <c r="F8" s="209"/>
      <c r="G8" s="209"/>
      <c r="H8" s="209"/>
      <c r="I8" s="209"/>
      <c r="J8" s="209"/>
      <c r="K8" s="209"/>
      <c r="M8" s="26" t="s">
        <v>71</v>
      </c>
      <c r="N8" s="13">
        <v>0</v>
      </c>
      <c r="O8" s="13" t="b">
        <f t="shared" ref="O8:O15" si="1">IF(N8=1,0,IF(N8=2,1))</f>
        <v>0</v>
      </c>
      <c r="P8" s="13">
        <v>0</v>
      </c>
      <c r="Q8" s="15">
        <f t="shared" si="0"/>
        <v>0</v>
      </c>
      <c r="R8" s="13">
        <v>0</v>
      </c>
      <c r="S8" s="15" t="b">
        <f t="shared" ref="S8:S15" si="2">IF(R8=1,0.3,IF(R8=2,1,IF(R8=3,3,IF(R8=4,10))))</f>
        <v>0</v>
      </c>
      <c r="T8" s="14" t="s">
        <v>135</v>
      </c>
      <c r="U8" s="13">
        <f t="shared" ref="U8:U13" si="3">IF(O8=1,Q8*S8*$U$6,1)</f>
        <v>1</v>
      </c>
    </row>
    <row r="9" spans="1:25" ht="40.15" customHeight="1" x14ac:dyDescent="0.25">
      <c r="B9" s="111" t="s">
        <v>72</v>
      </c>
      <c r="C9" s="209"/>
      <c r="D9" s="209"/>
      <c r="E9" s="209"/>
      <c r="F9" s="209"/>
      <c r="G9" s="209"/>
      <c r="H9" s="209"/>
      <c r="I9" s="209"/>
      <c r="J9" s="209"/>
      <c r="K9" s="209"/>
      <c r="M9" s="26" t="s">
        <v>72</v>
      </c>
      <c r="N9" s="13">
        <v>0</v>
      </c>
      <c r="O9" s="13" t="b">
        <f t="shared" si="1"/>
        <v>0</v>
      </c>
      <c r="P9" s="13">
        <v>0</v>
      </c>
      <c r="Q9" s="15">
        <f t="shared" si="0"/>
        <v>0</v>
      </c>
      <c r="R9" s="13">
        <v>0</v>
      </c>
      <c r="S9" s="15" t="b">
        <f t="shared" si="2"/>
        <v>0</v>
      </c>
      <c r="T9" s="14" t="s">
        <v>138</v>
      </c>
      <c r="U9" s="13">
        <f>IF(O9=1,Q9*S9*$U$6,1)</f>
        <v>1</v>
      </c>
    </row>
    <row r="10" spans="1:25" ht="40.15" customHeight="1" x14ac:dyDescent="0.25">
      <c r="B10" s="111" t="s">
        <v>73</v>
      </c>
      <c r="C10" s="209"/>
      <c r="D10" s="209"/>
      <c r="E10" s="209"/>
      <c r="F10" s="209"/>
      <c r="G10" s="209"/>
      <c r="H10" s="209"/>
      <c r="I10" s="209"/>
      <c r="J10" s="209"/>
      <c r="K10" s="209"/>
      <c r="M10" s="26" t="s">
        <v>73</v>
      </c>
      <c r="N10" s="13">
        <v>0</v>
      </c>
      <c r="O10" s="13" t="b">
        <f t="shared" si="1"/>
        <v>0</v>
      </c>
      <c r="P10" s="13">
        <v>0</v>
      </c>
      <c r="Q10" s="15">
        <f t="shared" si="0"/>
        <v>0</v>
      </c>
      <c r="R10" s="13">
        <v>0</v>
      </c>
      <c r="S10" s="15" t="b">
        <f t="shared" si="2"/>
        <v>0</v>
      </c>
      <c r="T10" s="14" t="s">
        <v>143</v>
      </c>
      <c r="U10" s="13">
        <f t="shared" si="3"/>
        <v>1</v>
      </c>
    </row>
    <row r="11" spans="1:25" ht="40.15" customHeight="1" x14ac:dyDescent="0.25">
      <c r="B11" s="111" t="s">
        <v>74</v>
      </c>
      <c r="C11" s="209"/>
      <c r="D11" s="209"/>
      <c r="E11" s="209"/>
      <c r="F11" s="209"/>
      <c r="G11" s="209"/>
      <c r="H11" s="209"/>
      <c r="I11" s="209"/>
      <c r="J11" s="209"/>
      <c r="K11" s="209"/>
      <c r="M11" s="26" t="s">
        <v>74</v>
      </c>
      <c r="N11" s="13">
        <v>0</v>
      </c>
      <c r="O11" s="13" t="b">
        <f t="shared" si="1"/>
        <v>0</v>
      </c>
      <c r="P11" s="13">
        <v>0</v>
      </c>
      <c r="Q11" s="15">
        <f t="shared" si="0"/>
        <v>0</v>
      </c>
      <c r="R11" s="13">
        <v>0</v>
      </c>
      <c r="S11" s="15" t="b">
        <f t="shared" si="2"/>
        <v>0</v>
      </c>
      <c r="T11" s="14" t="s">
        <v>142</v>
      </c>
      <c r="U11" s="13">
        <f t="shared" si="3"/>
        <v>1</v>
      </c>
    </row>
    <row r="12" spans="1:25" ht="40.15" customHeight="1" x14ac:dyDescent="0.25">
      <c r="B12" s="111" t="s">
        <v>75</v>
      </c>
      <c r="C12" s="209"/>
      <c r="D12" s="209"/>
      <c r="E12" s="209"/>
      <c r="F12" s="209"/>
      <c r="G12" s="209"/>
      <c r="H12" s="209"/>
      <c r="I12" s="209"/>
      <c r="J12" s="209"/>
      <c r="K12" s="209"/>
      <c r="M12" s="16" t="s">
        <v>75</v>
      </c>
      <c r="N12" s="13">
        <v>0</v>
      </c>
      <c r="O12" s="13" t="b">
        <f t="shared" si="1"/>
        <v>0</v>
      </c>
      <c r="P12" s="13">
        <v>0</v>
      </c>
      <c r="Q12" s="15">
        <f t="shared" si="0"/>
        <v>0</v>
      </c>
      <c r="R12" s="13">
        <v>0</v>
      </c>
      <c r="S12" s="15" t="b">
        <f t="shared" si="2"/>
        <v>0</v>
      </c>
      <c r="T12" s="14" t="s">
        <v>141</v>
      </c>
      <c r="U12" s="13">
        <f t="shared" si="3"/>
        <v>1</v>
      </c>
    </row>
    <row r="13" spans="1:25" ht="40.15" customHeight="1" x14ac:dyDescent="0.25">
      <c r="B13" s="111" t="s">
        <v>76</v>
      </c>
      <c r="C13" s="209"/>
      <c r="D13" s="209"/>
      <c r="E13" s="209"/>
      <c r="F13" s="209"/>
      <c r="G13" s="209"/>
      <c r="H13" s="209"/>
      <c r="I13" s="209"/>
      <c r="J13" s="209"/>
      <c r="K13" s="209"/>
      <c r="M13" s="26" t="s">
        <v>76</v>
      </c>
      <c r="N13" s="13">
        <v>0</v>
      </c>
      <c r="O13" s="13" t="b">
        <f t="shared" si="1"/>
        <v>0</v>
      </c>
      <c r="P13" s="13">
        <v>0</v>
      </c>
      <c r="Q13" s="15">
        <f t="shared" si="0"/>
        <v>0</v>
      </c>
      <c r="R13" s="13">
        <v>0</v>
      </c>
      <c r="S13" s="15" t="b">
        <f t="shared" si="2"/>
        <v>0</v>
      </c>
      <c r="T13" s="14" t="s">
        <v>140</v>
      </c>
      <c r="U13" s="13">
        <f t="shared" si="3"/>
        <v>1</v>
      </c>
    </row>
    <row r="14" spans="1:25" ht="40.15" customHeight="1" x14ac:dyDescent="0.25">
      <c r="B14" s="209"/>
      <c r="C14" s="209"/>
      <c r="D14" s="209"/>
      <c r="E14" s="98" t="s">
        <v>147</v>
      </c>
      <c r="F14" s="98" t="s">
        <v>146</v>
      </c>
      <c r="G14" s="98" t="s">
        <v>145</v>
      </c>
      <c r="H14" s="98" t="s">
        <v>172</v>
      </c>
      <c r="I14" s="98" t="s">
        <v>173</v>
      </c>
      <c r="J14" s="98" t="s">
        <v>174</v>
      </c>
      <c r="K14" s="98" t="s">
        <v>175</v>
      </c>
      <c r="M14" s="26"/>
      <c r="N14" s="13"/>
      <c r="O14" s="13"/>
      <c r="P14" s="13"/>
      <c r="Q14" s="15"/>
      <c r="R14" s="13"/>
      <c r="S14" s="15"/>
      <c r="T14" s="28"/>
      <c r="U14" s="13"/>
    </row>
    <row r="15" spans="1:25" ht="40.15" customHeight="1" x14ac:dyDescent="0.25">
      <c r="B15" s="111" t="s">
        <v>77</v>
      </c>
      <c r="C15" s="209"/>
      <c r="D15" s="215"/>
      <c r="E15" s="112"/>
      <c r="F15" s="113"/>
      <c r="G15" s="114"/>
      <c r="H15" s="113"/>
      <c r="I15" s="113"/>
      <c r="J15" s="113"/>
      <c r="K15" s="114"/>
      <c r="L15" s="59"/>
      <c r="M15" s="26" t="s">
        <v>77</v>
      </c>
      <c r="N15" s="40">
        <v>0</v>
      </c>
      <c r="O15" s="40" t="b">
        <f t="shared" si="1"/>
        <v>0</v>
      </c>
      <c r="P15" s="40">
        <v>0</v>
      </c>
      <c r="Q15" s="36">
        <f t="shared" si="0"/>
        <v>0</v>
      </c>
      <c r="R15" s="40">
        <v>0</v>
      </c>
      <c r="S15" s="36" t="b">
        <f t="shared" si="2"/>
        <v>0</v>
      </c>
      <c r="T15" s="29" t="s">
        <v>139</v>
      </c>
      <c r="U15" s="40">
        <f>IF(O15=1,Q15*S15*$U$6,1)</f>
        <v>1</v>
      </c>
      <c r="Y15" s="1"/>
    </row>
    <row r="16" spans="1:25" x14ac:dyDescent="0.25"/>
    <row r="17" spans="10:10" ht="26.25" customHeight="1" x14ac:dyDescent="0.25"/>
    <row r="18" spans="10:10" hidden="1" x14ac:dyDescent="0.25">
      <c r="J18" s="5"/>
    </row>
    <row r="19" spans="10:10" hidden="1" x14ac:dyDescent="0.25">
      <c r="J19" s="5"/>
    </row>
    <row r="20" spans="10:10" hidden="1" x14ac:dyDescent="0.25">
      <c r="J20" s="5"/>
    </row>
    <row r="21" spans="10:10" hidden="1" x14ac:dyDescent="0.25">
      <c r="J21" s="5"/>
    </row>
    <row r="22" spans="10:10" hidden="1" x14ac:dyDescent="0.25">
      <c r="J22" s="5"/>
    </row>
    <row r="23" spans="10:10" hidden="1" x14ac:dyDescent="0.25">
      <c r="J23" s="5"/>
    </row>
    <row r="24" spans="10:10" hidden="1" x14ac:dyDescent="0.25">
      <c r="J24" s="3"/>
    </row>
    <row r="25" spans="10:10" x14ac:dyDescent="0.25"/>
  </sheetData>
  <sheetProtection algorithmName="SHA-512" hashValue="JThvDmV9eVN6MSeQSldYDWFH0qAoMJC6pKKrTilugdhihA4xQlt2zPG7RJZa3gLB39GfEy5JVzcbmk5hKmSJhw==" saltValue="LKV0mQsrIdX+S6uefdb5Rw==" spinCount="100000" sheet="1" objects="1" scenarios="1" selectLockedCells="1"/>
  <mergeCells count="29">
    <mergeCell ref="B5:B6"/>
    <mergeCell ref="C15:D15"/>
    <mergeCell ref="E7:G7"/>
    <mergeCell ref="E8:G8"/>
    <mergeCell ref="E9:G9"/>
    <mergeCell ref="E10:G10"/>
    <mergeCell ref="E11:G11"/>
    <mergeCell ref="E12:G12"/>
    <mergeCell ref="E13:G13"/>
    <mergeCell ref="C7:D7"/>
    <mergeCell ref="C8:D8"/>
    <mergeCell ref="C9:D9"/>
    <mergeCell ref="B14:D14"/>
    <mergeCell ref="B3:K3"/>
    <mergeCell ref="H11:K11"/>
    <mergeCell ref="H12:K12"/>
    <mergeCell ref="H13:K13"/>
    <mergeCell ref="H5:K5"/>
    <mergeCell ref="H7:K7"/>
    <mergeCell ref="H8:K8"/>
    <mergeCell ref="H9:K9"/>
    <mergeCell ref="H10:K10"/>
    <mergeCell ref="C10:D10"/>
    <mergeCell ref="C11:D11"/>
    <mergeCell ref="C12:D12"/>
    <mergeCell ref="C13:D13"/>
    <mergeCell ref="C5:D5"/>
    <mergeCell ref="C4:K4"/>
    <mergeCell ref="E5:G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Group Box 1">
              <controlPr defaultSize="0" autoFill="0" autoPict="0">
                <anchor moveWithCells="1">
                  <from>
                    <xdr:col>2</xdr:col>
                    <xdr:colOff>76200</xdr:colOff>
                    <xdr:row>6</xdr:row>
                    <xdr:rowOff>38100</xdr:rowOff>
                  </from>
                  <to>
                    <xdr:col>3</xdr:col>
                    <xdr:colOff>704850</xdr:colOff>
                    <xdr:row>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_1">
              <controlPr defaultSize="0" autoFill="0" autoLine="0" autoPict="0">
                <anchor moveWithCells="1">
                  <from>
                    <xdr:col>2</xdr:col>
                    <xdr:colOff>314325</xdr:colOff>
                    <xdr:row>6</xdr:row>
                    <xdr:rowOff>76200</xdr:rowOff>
                  </from>
                  <to>
                    <xdr:col>2</xdr:col>
                    <xdr:colOff>542925</xdr:colOff>
                    <xdr:row>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6" name="B_2">
              <controlPr defaultSize="0" autoFill="0" autoLine="0" autoPict="0">
                <anchor moveWithCells="1">
                  <from>
                    <xdr:col>3</xdr:col>
                    <xdr:colOff>304800</xdr:colOff>
                    <xdr:row>6</xdr:row>
                    <xdr:rowOff>123825</xdr:rowOff>
                  </from>
                  <to>
                    <xdr:col>3</xdr:col>
                    <xdr:colOff>523875</xdr:colOff>
                    <xdr:row>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7" name="Group Box 6">
              <controlPr defaultSize="0" autoFill="0" autoPict="0">
                <anchor moveWithCells="1">
                  <from>
                    <xdr:col>2</xdr:col>
                    <xdr:colOff>76200</xdr:colOff>
                    <xdr:row>7</xdr:row>
                    <xdr:rowOff>47625</xdr:rowOff>
                  </from>
                  <to>
                    <xdr:col>3</xdr:col>
                    <xdr:colOff>704850</xdr:colOff>
                    <xdr:row>7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8" name="B_10">
              <controlPr defaultSize="0" autoFill="0" autoLine="0" autoPict="0">
                <anchor moveWithCells="1">
                  <from>
                    <xdr:col>2</xdr:col>
                    <xdr:colOff>314325</xdr:colOff>
                    <xdr:row>7</xdr:row>
                    <xdr:rowOff>133350</xdr:rowOff>
                  </from>
                  <to>
                    <xdr:col>2</xdr:col>
                    <xdr:colOff>514350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9" name="B_11">
              <controlPr defaultSize="0" autoFill="0" autoLine="0" autoPict="0">
                <anchor moveWithCells="1">
                  <from>
                    <xdr:col>3</xdr:col>
                    <xdr:colOff>304800</xdr:colOff>
                    <xdr:row>7</xdr:row>
                    <xdr:rowOff>171450</xdr:rowOff>
                  </from>
                  <to>
                    <xdr:col>3</xdr:col>
                    <xdr:colOff>523875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0" name="Group Box 9">
              <controlPr defaultSize="0" autoFill="0" autoPict="0">
                <anchor moveWithCells="1">
                  <from>
                    <xdr:col>2</xdr:col>
                    <xdr:colOff>76200</xdr:colOff>
                    <xdr:row>8</xdr:row>
                    <xdr:rowOff>38100</xdr:rowOff>
                  </from>
                  <to>
                    <xdr:col>3</xdr:col>
                    <xdr:colOff>704850</xdr:colOff>
                    <xdr:row>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1" name="B_19">
              <controlPr defaultSize="0" autoFill="0" autoLine="0" autoPict="0">
                <anchor moveWithCells="1">
                  <from>
                    <xdr:col>2</xdr:col>
                    <xdr:colOff>314325</xdr:colOff>
                    <xdr:row>8</xdr:row>
                    <xdr:rowOff>133350</xdr:rowOff>
                  </from>
                  <to>
                    <xdr:col>2</xdr:col>
                    <xdr:colOff>514350</xdr:colOff>
                    <xdr:row>8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2" name="B_20">
              <controlPr defaultSize="0" autoFill="0" autoLine="0" autoPict="0">
                <anchor moveWithCells="1">
                  <from>
                    <xdr:col>3</xdr:col>
                    <xdr:colOff>304800</xdr:colOff>
                    <xdr:row>8</xdr:row>
                    <xdr:rowOff>171450</xdr:rowOff>
                  </from>
                  <to>
                    <xdr:col>3</xdr:col>
                    <xdr:colOff>523875</xdr:colOff>
                    <xdr:row>8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3" name="Group Box 12">
              <controlPr defaultSize="0" autoFill="0" autoPict="0">
                <anchor moveWithCells="1">
                  <from>
                    <xdr:col>2</xdr:col>
                    <xdr:colOff>85725</xdr:colOff>
                    <xdr:row>9</xdr:row>
                    <xdr:rowOff>38100</xdr:rowOff>
                  </from>
                  <to>
                    <xdr:col>3</xdr:col>
                    <xdr:colOff>714375</xdr:colOff>
                    <xdr:row>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4" name="B_28">
              <controlPr defaultSize="0" autoFill="0" autoLine="0" autoPict="0">
                <anchor moveWithCells="1">
                  <from>
                    <xdr:col>2</xdr:col>
                    <xdr:colOff>323850</xdr:colOff>
                    <xdr:row>9</xdr:row>
                    <xdr:rowOff>133350</xdr:rowOff>
                  </from>
                  <to>
                    <xdr:col>2</xdr:col>
                    <xdr:colOff>514350</xdr:colOff>
                    <xdr:row>9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5" name="B_29">
              <controlPr defaultSize="0" autoFill="0" autoLine="0" autoPict="0">
                <anchor moveWithCells="1">
                  <from>
                    <xdr:col>3</xdr:col>
                    <xdr:colOff>314325</xdr:colOff>
                    <xdr:row>9</xdr:row>
                    <xdr:rowOff>171450</xdr:rowOff>
                  </from>
                  <to>
                    <xdr:col>3</xdr:col>
                    <xdr:colOff>533400</xdr:colOff>
                    <xdr:row>9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6" name="Group Box 15">
              <controlPr defaultSize="0" autoFill="0" autoPict="0">
                <anchor moveWithCells="1">
                  <from>
                    <xdr:col>2</xdr:col>
                    <xdr:colOff>95250</xdr:colOff>
                    <xdr:row>10</xdr:row>
                    <xdr:rowOff>38100</xdr:rowOff>
                  </from>
                  <to>
                    <xdr:col>3</xdr:col>
                    <xdr:colOff>723900</xdr:colOff>
                    <xdr:row>10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7" name="B_37">
              <controlPr defaultSize="0" autoFill="0" autoLine="0" autoPict="0">
                <anchor moveWithCells="1">
                  <from>
                    <xdr:col>2</xdr:col>
                    <xdr:colOff>323850</xdr:colOff>
                    <xdr:row>10</xdr:row>
                    <xdr:rowOff>133350</xdr:rowOff>
                  </from>
                  <to>
                    <xdr:col>2</xdr:col>
                    <xdr:colOff>523875</xdr:colOff>
                    <xdr:row>10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18" name="B_38">
              <controlPr defaultSize="0" autoFill="0" autoLine="0" autoPict="0">
                <anchor moveWithCells="1">
                  <from>
                    <xdr:col>3</xdr:col>
                    <xdr:colOff>323850</xdr:colOff>
                    <xdr:row>10</xdr:row>
                    <xdr:rowOff>171450</xdr:rowOff>
                  </from>
                  <to>
                    <xdr:col>3</xdr:col>
                    <xdr:colOff>542925</xdr:colOff>
                    <xdr:row>10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19" name="Group Box 18">
              <controlPr defaultSize="0" autoFill="0" autoPict="0">
                <anchor moveWithCells="1">
                  <from>
                    <xdr:col>2</xdr:col>
                    <xdr:colOff>95250</xdr:colOff>
                    <xdr:row>11</xdr:row>
                    <xdr:rowOff>38100</xdr:rowOff>
                  </from>
                  <to>
                    <xdr:col>3</xdr:col>
                    <xdr:colOff>723900</xdr:colOff>
                    <xdr:row>11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0" name="B_46">
              <controlPr defaultSize="0" autoFill="0" autoLine="0" autoPict="0">
                <anchor moveWithCells="1">
                  <from>
                    <xdr:col>2</xdr:col>
                    <xdr:colOff>323850</xdr:colOff>
                    <xdr:row>11</xdr:row>
                    <xdr:rowOff>133350</xdr:rowOff>
                  </from>
                  <to>
                    <xdr:col>2</xdr:col>
                    <xdr:colOff>523875</xdr:colOff>
                    <xdr:row>11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1" name="B_47">
              <controlPr defaultSize="0" autoFill="0" autoLine="0" autoPict="0">
                <anchor moveWithCells="1">
                  <from>
                    <xdr:col>3</xdr:col>
                    <xdr:colOff>323850</xdr:colOff>
                    <xdr:row>11</xdr:row>
                    <xdr:rowOff>171450</xdr:rowOff>
                  </from>
                  <to>
                    <xdr:col>3</xdr:col>
                    <xdr:colOff>542925</xdr:colOff>
                    <xdr:row>11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2" name="Group Box 21">
              <controlPr defaultSize="0" autoFill="0" autoPict="0">
                <anchor moveWithCells="1">
                  <from>
                    <xdr:col>2</xdr:col>
                    <xdr:colOff>85725</xdr:colOff>
                    <xdr:row>12</xdr:row>
                    <xdr:rowOff>38100</xdr:rowOff>
                  </from>
                  <to>
                    <xdr:col>3</xdr:col>
                    <xdr:colOff>714375</xdr:colOff>
                    <xdr:row>12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3" name="B_55">
              <controlPr defaultSize="0" autoFill="0" autoLine="0" autoPict="0">
                <anchor moveWithCells="1">
                  <from>
                    <xdr:col>2</xdr:col>
                    <xdr:colOff>323850</xdr:colOff>
                    <xdr:row>12</xdr:row>
                    <xdr:rowOff>133350</xdr:rowOff>
                  </from>
                  <to>
                    <xdr:col>2</xdr:col>
                    <xdr:colOff>514350</xdr:colOff>
                    <xdr:row>12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4" name="B_56">
              <controlPr defaultSize="0" autoFill="0" autoLine="0" autoPict="0">
                <anchor moveWithCells="1">
                  <from>
                    <xdr:col>3</xdr:col>
                    <xdr:colOff>314325</xdr:colOff>
                    <xdr:row>12</xdr:row>
                    <xdr:rowOff>171450</xdr:rowOff>
                  </from>
                  <to>
                    <xdr:col>3</xdr:col>
                    <xdr:colOff>533400</xdr:colOff>
                    <xdr:row>12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5" name="Group Box 24">
              <controlPr defaultSize="0" autoFill="0" autoPict="0">
                <anchor moveWithCells="1">
                  <from>
                    <xdr:col>2</xdr:col>
                    <xdr:colOff>85725</xdr:colOff>
                    <xdr:row>14</xdr:row>
                    <xdr:rowOff>38100</xdr:rowOff>
                  </from>
                  <to>
                    <xdr:col>3</xdr:col>
                    <xdr:colOff>714375</xdr:colOff>
                    <xdr:row>14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6" name="B_64">
              <controlPr defaultSize="0" autoFill="0" autoLine="0" autoPict="0">
                <anchor moveWithCells="1">
                  <from>
                    <xdr:col>2</xdr:col>
                    <xdr:colOff>323850</xdr:colOff>
                    <xdr:row>14</xdr:row>
                    <xdr:rowOff>133350</xdr:rowOff>
                  </from>
                  <to>
                    <xdr:col>2</xdr:col>
                    <xdr:colOff>514350</xdr:colOff>
                    <xdr:row>14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7" name="B_65">
              <controlPr defaultSize="0" autoFill="0" autoLine="0" autoPict="0">
                <anchor moveWithCells="1">
                  <from>
                    <xdr:col>3</xdr:col>
                    <xdr:colOff>314325</xdr:colOff>
                    <xdr:row>14</xdr:row>
                    <xdr:rowOff>171450</xdr:rowOff>
                  </from>
                  <to>
                    <xdr:col>3</xdr:col>
                    <xdr:colOff>533400</xdr:colOff>
                    <xdr:row>14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28" name="B_3">
              <controlPr defaultSize="0" autoFill="0" autoLine="0" autoPict="0">
                <anchor moveWithCells="1">
                  <from>
                    <xdr:col>4</xdr:col>
                    <xdr:colOff>304800</xdr:colOff>
                    <xdr:row>6</xdr:row>
                    <xdr:rowOff>123825</xdr:rowOff>
                  </from>
                  <to>
                    <xdr:col>4</xdr:col>
                    <xdr:colOff>523875</xdr:colOff>
                    <xdr:row>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29" name="B_4">
              <controlPr defaultSize="0" autoFill="0" autoLine="0" autoPict="0">
                <anchor moveWithCells="1">
                  <from>
                    <xdr:col>5</xdr:col>
                    <xdr:colOff>390525</xdr:colOff>
                    <xdr:row>6</xdr:row>
                    <xdr:rowOff>95250</xdr:rowOff>
                  </from>
                  <to>
                    <xdr:col>5</xdr:col>
                    <xdr:colOff>590550</xdr:colOff>
                    <xdr:row>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0" name="B_5">
              <controlPr defaultSize="0" autoFill="0" autoLine="0" autoPict="0">
                <anchor moveWithCells="1">
                  <from>
                    <xdr:col>6</xdr:col>
                    <xdr:colOff>342900</xdr:colOff>
                    <xdr:row>6</xdr:row>
                    <xdr:rowOff>66675</xdr:rowOff>
                  </from>
                  <to>
                    <xdr:col>6</xdr:col>
                    <xdr:colOff>590550</xdr:colOff>
                    <xdr:row>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1" name="Group Box 30">
              <controlPr defaultSize="0" autoFill="0" autoPict="0">
                <anchor moveWithCells="1">
                  <from>
                    <xdr:col>4</xdr:col>
                    <xdr:colOff>57150</xdr:colOff>
                    <xdr:row>6</xdr:row>
                    <xdr:rowOff>47625</xdr:rowOff>
                  </from>
                  <to>
                    <xdr:col>6</xdr:col>
                    <xdr:colOff>723900</xdr:colOff>
                    <xdr:row>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2" name="B_12">
              <controlPr defaultSize="0" autoFill="0" autoLine="0" autoPict="0">
                <anchor moveWithCells="1">
                  <from>
                    <xdr:col>4</xdr:col>
                    <xdr:colOff>304800</xdr:colOff>
                    <xdr:row>7</xdr:row>
                    <xdr:rowOff>171450</xdr:rowOff>
                  </from>
                  <to>
                    <xdr:col>4</xdr:col>
                    <xdr:colOff>485775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3" name="B_13">
              <controlPr defaultSize="0" autoFill="0" autoLine="0" autoPict="0">
                <anchor moveWithCells="1">
                  <from>
                    <xdr:col>5</xdr:col>
                    <xdr:colOff>390525</xdr:colOff>
                    <xdr:row>7</xdr:row>
                    <xdr:rowOff>171450</xdr:rowOff>
                  </from>
                  <to>
                    <xdr:col>5</xdr:col>
                    <xdr:colOff>571500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4" name="B_14">
              <controlPr defaultSize="0" autoFill="0" autoLine="0" autoPict="0">
                <anchor moveWithCells="1">
                  <from>
                    <xdr:col>6</xdr:col>
                    <xdr:colOff>342900</xdr:colOff>
                    <xdr:row>7</xdr:row>
                    <xdr:rowOff>171450</xdr:rowOff>
                  </from>
                  <to>
                    <xdr:col>6</xdr:col>
                    <xdr:colOff>523875</xdr:colOff>
                    <xdr:row>7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5" name="Group Box 34">
              <controlPr defaultSize="0" autoFill="0" autoPict="0">
                <anchor moveWithCells="1">
                  <from>
                    <xdr:col>4</xdr:col>
                    <xdr:colOff>57150</xdr:colOff>
                    <xdr:row>7</xdr:row>
                    <xdr:rowOff>57150</xdr:rowOff>
                  </from>
                  <to>
                    <xdr:col>6</xdr:col>
                    <xdr:colOff>723900</xdr:colOff>
                    <xdr:row>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6" name="B_21">
              <controlPr defaultSize="0" autoFill="0" autoLine="0" autoPict="0">
                <anchor moveWithCells="1">
                  <from>
                    <xdr:col>4</xdr:col>
                    <xdr:colOff>304800</xdr:colOff>
                    <xdr:row>8</xdr:row>
                    <xdr:rowOff>171450</xdr:rowOff>
                  </from>
                  <to>
                    <xdr:col>4</xdr:col>
                    <xdr:colOff>485775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7" name="B_22">
              <controlPr defaultSize="0" autoFill="0" autoLine="0" autoPict="0">
                <anchor moveWithCells="1">
                  <from>
                    <xdr:col>5</xdr:col>
                    <xdr:colOff>390525</xdr:colOff>
                    <xdr:row>8</xdr:row>
                    <xdr:rowOff>171450</xdr:rowOff>
                  </from>
                  <to>
                    <xdr:col>5</xdr:col>
                    <xdr:colOff>571500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38" name="B_23">
              <controlPr defaultSize="0" autoFill="0" autoLine="0" autoPict="0">
                <anchor moveWithCells="1">
                  <from>
                    <xdr:col>6</xdr:col>
                    <xdr:colOff>342900</xdr:colOff>
                    <xdr:row>8</xdr:row>
                    <xdr:rowOff>171450</xdr:rowOff>
                  </from>
                  <to>
                    <xdr:col>6</xdr:col>
                    <xdr:colOff>523875</xdr:colOff>
                    <xdr:row>8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39" name="Group Box 38">
              <controlPr defaultSize="0" autoFill="0" autoPict="0">
                <anchor moveWithCells="1">
                  <from>
                    <xdr:col>4</xdr:col>
                    <xdr:colOff>57150</xdr:colOff>
                    <xdr:row>8</xdr:row>
                    <xdr:rowOff>57150</xdr:rowOff>
                  </from>
                  <to>
                    <xdr:col>6</xdr:col>
                    <xdr:colOff>723900</xdr:colOff>
                    <xdr:row>8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0" name="B_30">
              <controlPr defaultSize="0" autoFill="0" autoLine="0" autoPict="0">
                <anchor moveWithCells="1">
                  <from>
                    <xdr:col>4</xdr:col>
                    <xdr:colOff>304800</xdr:colOff>
                    <xdr:row>9</xdr:row>
                    <xdr:rowOff>171450</xdr:rowOff>
                  </from>
                  <to>
                    <xdr:col>4</xdr:col>
                    <xdr:colOff>485775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1" name="B_31">
              <controlPr defaultSize="0" autoFill="0" autoLine="0" autoPict="0">
                <anchor moveWithCells="1">
                  <from>
                    <xdr:col>5</xdr:col>
                    <xdr:colOff>390525</xdr:colOff>
                    <xdr:row>9</xdr:row>
                    <xdr:rowOff>171450</xdr:rowOff>
                  </from>
                  <to>
                    <xdr:col>5</xdr:col>
                    <xdr:colOff>571500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2" name="B_32">
              <controlPr defaultSize="0" autoFill="0" autoLine="0" autoPict="0">
                <anchor moveWithCells="1">
                  <from>
                    <xdr:col>6</xdr:col>
                    <xdr:colOff>342900</xdr:colOff>
                    <xdr:row>9</xdr:row>
                    <xdr:rowOff>171450</xdr:rowOff>
                  </from>
                  <to>
                    <xdr:col>6</xdr:col>
                    <xdr:colOff>523875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3" name="Group Box 42">
              <controlPr defaultSize="0" autoFill="0" autoPict="0">
                <anchor moveWithCells="1">
                  <from>
                    <xdr:col>4</xdr:col>
                    <xdr:colOff>57150</xdr:colOff>
                    <xdr:row>9</xdr:row>
                    <xdr:rowOff>57150</xdr:rowOff>
                  </from>
                  <to>
                    <xdr:col>6</xdr:col>
                    <xdr:colOff>723900</xdr:colOff>
                    <xdr:row>9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4" name="B_39">
              <controlPr defaultSize="0" autoFill="0" autoLine="0" autoPict="0">
                <anchor moveWithCells="1">
                  <from>
                    <xdr:col>4</xdr:col>
                    <xdr:colOff>304800</xdr:colOff>
                    <xdr:row>10</xdr:row>
                    <xdr:rowOff>171450</xdr:rowOff>
                  </from>
                  <to>
                    <xdr:col>4</xdr:col>
                    <xdr:colOff>485775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5" name="B_40">
              <controlPr defaultSize="0" autoFill="0" autoLine="0" autoPict="0">
                <anchor moveWithCells="1">
                  <from>
                    <xdr:col>5</xdr:col>
                    <xdr:colOff>390525</xdr:colOff>
                    <xdr:row>10</xdr:row>
                    <xdr:rowOff>171450</xdr:rowOff>
                  </from>
                  <to>
                    <xdr:col>5</xdr:col>
                    <xdr:colOff>571500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6" name="B_41">
              <controlPr defaultSize="0" autoFill="0" autoLine="0" autoPict="0">
                <anchor moveWithCells="1">
                  <from>
                    <xdr:col>6</xdr:col>
                    <xdr:colOff>342900</xdr:colOff>
                    <xdr:row>10</xdr:row>
                    <xdr:rowOff>171450</xdr:rowOff>
                  </from>
                  <to>
                    <xdr:col>6</xdr:col>
                    <xdr:colOff>523875</xdr:colOff>
                    <xdr:row>10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7" name="Group Box 46">
              <controlPr defaultSize="0" autoFill="0" autoPict="0">
                <anchor moveWithCells="1">
                  <from>
                    <xdr:col>4</xdr:col>
                    <xdr:colOff>57150</xdr:colOff>
                    <xdr:row>10</xdr:row>
                    <xdr:rowOff>57150</xdr:rowOff>
                  </from>
                  <to>
                    <xdr:col>6</xdr:col>
                    <xdr:colOff>723900</xdr:colOff>
                    <xdr:row>10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48" name="B_48">
              <controlPr defaultSize="0" autoFill="0" autoLine="0" autoPict="0">
                <anchor moveWithCells="1">
                  <from>
                    <xdr:col>4</xdr:col>
                    <xdr:colOff>304800</xdr:colOff>
                    <xdr:row>11</xdr:row>
                    <xdr:rowOff>171450</xdr:rowOff>
                  </from>
                  <to>
                    <xdr:col>4</xdr:col>
                    <xdr:colOff>485775</xdr:colOff>
                    <xdr:row>11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49" name="B_49">
              <controlPr defaultSize="0" autoFill="0" autoLine="0" autoPict="0">
                <anchor moveWithCells="1">
                  <from>
                    <xdr:col>5</xdr:col>
                    <xdr:colOff>390525</xdr:colOff>
                    <xdr:row>11</xdr:row>
                    <xdr:rowOff>171450</xdr:rowOff>
                  </from>
                  <to>
                    <xdr:col>5</xdr:col>
                    <xdr:colOff>571500</xdr:colOff>
                    <xdr:row>11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0" name="B_50">
              <controlPr defaultSize="0" autoFill="0" autoLine="0" autoPict="0">
                <anchor moveWithCells="1">
                  <from>
                    <xdr:col>6</xdr:col>
                    <xdr:colOff>342900</xdr:colOff>
                    <xdr:row>11</xdr:row>
                    <xdr:rowOff>171450</xdr:rowOff>
                  </from>
                  <to>
                    <xdr:col>6</xdr:col>
                    <xdr:colOff>523875</xdr:colOff>
                    <xdr:row>11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1" name="Group Box 50">
              <controlPr defaultSize="0" autoFill="0" autoPict="0">
                <anchor moveWithCells="1">
                  <from>
                    <xdr:col>4</xdr:col>
                    <xdr:colOff>57150</xdr:colOff>
                    <xdr:row>11</xdr:row>
                    <xdr:rowOff>57150</xdr:rowOff>
                  </from>
                  <to>
                    <xdr:col>6</xdr:col>
                    <xdr:colOff>723900</xdr:colOff>
                    <xdr:row>11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2" name="B_57">
              <controlPr defaultSize="0" autoFill="0" autoLine="0" autoPict="0">
                <anchor moveWithCells="1">
                  <from>
                    <xdr:col>4</xdr:col>
                    <xdr:colOff>304800</xdr:colOff>
                    <xdr:row>12</xdr:row>
                    <xdr:rowOff>171450</xdr:rowOff>
                  </from>
                  <to>
                    <xdr:col>4</xdr:col>
                    <xdr:colOff>485775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3" name="B_58">
              <controlPr defaultSize="0" autoFill="0" autoLine="0" autoPict="0">
                <anchor moveWithCells="1">
                  <from>
                    <xdr:col>5</xdr:col>
                    <xdr:colOff>390525</xdr:colOff>
                    <xdr:row>12</xdr:row>
                    <xdr:rowOff>171450</xdr:rowOff>
                  </from>
                  <to>
                    <xdr:col>5</xdr:col>
                    <xdr:colOff>571500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4" name="B_59">
              <controlPr defaultSize="0" autoFill="0" autoLine="0" autoPict="0">
                <anchor moveWithCells="1">
                  <from>
                    <xdr:col>6</xdr:col>
                    <xdr:colOff>342900</xdr:colOff>
                    <xdr:row>12</xdr:row>
                    <xdr:rowOff>171450</xdr:rowOff>
                  </from>
                  <to>
                    <xdr:col>6</xdr:col>
                    <xdr:colOff>523875</xdr:colOff>
                    <xdr:row>12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5" name="Group Box 54">
              <controlPr defaultSize="0" autoFill="0" autoPict="0">
                <anchor moveWithCells="1">
                  <from>
                    <xdr:col>4</xdr:col>
                    <xdr:colOff>57150</xdr:colOff>
                    <xdr:row>12</xdr:row>
                    <xdr:rowOff>57150</xdr:rowOff>
                  </from>
                  <to>
                    <xdr:col>6</xdr:col>
                    <xdr:colOff>723900</xdr:colOff>
                    <xdr:row>12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6" name="B_6">
              <controlPr defaultSize="0" autoFill="0" autoLine="0" autoPict="0">
                <anchor moveWithCells="1">
                  <from>
                    <xdr:col>7</xdr:col>
                    <xdr:colOff>314325</xdr:colOff>
                    <xdr:row>6</xdr:row>
                    <xdr:rowOff>104775</xdr:rowOff>
                  </from>
                  <to>
                    <xdr:col>7</xdr:col>
                    <xdr:colOff>504825</xdr:colOff>
                    <xdr:row>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7" name="B_7">
              <controlPr defaultSize="0" autoFill="0" autoLine="0" autoPict="0">
                <anchor moveWithCells="1">
                  <from>
                    <xdr:col>8</xdr:col>
                    <xdr:colOff>314325</xdr:colOff>
                    <xdr:row>6</xdr:row>
                    <xdr:rowOff>95250</xdr:rowOff>
                  </from>
                  <to>
                    <xdr:col>8</xdr:col>
                    <xdr:colOff>590550</xdr:colOff>
                    <xdr:row>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58" name="B_8">
              <controlPr defaultSize="0" autoFill="0" autoLine="0" autoPict="0">
                <anchor moveWithCells="1">
                  <from>
                    <xdr:col>9</xdr:col>
                    <xdr:colOff>323850</xdr:colOff>
                    <xdr:row>6</xdr:row>
                    <xdr:rowOff>123825</xdr:rowOff>
                  </from>
                  <to>
                    <xdr:col>9</xdr:col>
                    <xdr:colOff>504825</xdr:colOff>
                    <xdr:row>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59" name="B_9">
              <controlPr defaultSize="0" autoFill="0" autoLine="0" autoPict="0">
                <anchor moveWithCells="1">
                  <from>
                    <xdr:col>10</xdr:col>
                    <xdr:colOff>323850</xdr:colOff>
                    <xdr:row>6</xdr:row>
                    <xdr:rowOff>133350</xdr:rowOff>
                  </from>
                  <to>
                    <xdr:col>10</xdr:col>
                    <xdr:colOff>504825</xdr:colOff>
                    <xdr:row>6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0" name="Group Box 59">
              <controlPr defaultSize="0" autoFill="0" autoPict="0">
                <anchor moveWithCells="1">
                  <from>
                    <xdr:col>7</xdr:col>
                    <xdr:colOff>95250</xdr:colOff>
                    <xdr:row>6</xdr:row>
                    <xdr:rowOff>47625</xdr:rowOff>
                  </from>
                  <to>
                    <xdr:col>10</xdr:col>
                    <xdr:colOff>676275</xdr:colOff>
                    <xdr:row>6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1" name="B_15">
              <controlPr defaultSize="0" autoFill="0" autoLine="0" autoPict="0">
                <anchor moveWithCells="1">
                  <from>
                    <xdr:col>7</xdr:col>
                    <xdr:colOff>314325</xdr:colOff>
                    <xdr:row>7</xdr:row>
                    <xdr:rowOff>171450</xdr:rowOff>
                  </from>
                  <to>
                    <xdr:col>7</xdr:col>
                    <xdr:colOff>485775</xdr:colOff>
                    <xdr:row>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2" name="B_16">
              <controlPr defaultSize="0" autoFill="0" autoLine="0" autoPict="0">
                <anchor moveWithCells="1">
                  <from>
                    <xdr:col>8</xdr:col>
                    <xdr:colOff>314325</xdr:colOff>
                    <xdr:row>7</xdr:row>
                    <xdr:rowOff>171450</xdr:rowOff>
                  </from>
                  <to>
                    <xdr:col>8</xdr:col>
                    <xdr:colOff>485775</xdr:colOff>
                    <xdr:row>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3" name="B_17">
              <controlPr defaultSize="0" autoFill="0" autoLine="0" autoPict="0">
                <anchor moveWithCells="1">
                  <from>
                    <xdr:col>9</xdr:col>
                    <xdr:colOff>323850</xdr:colOff>
                    <xdr:row>7</xdr:row>
                    <xdr:rowOff>171450</xdr:rowOff>
                  </from>
                  <to>
                    <xdr:col>9</xdr:col>
                    <xdr:colOff>495300</xdr:colOff>
                    <xdr:row>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4" name="B_18">
              <controlPr defaultSize="0" autoFill="0" autoLine="0" autoPict="0">
                <anchor moveWithCells="1">
                  <from>
                    <xdr:col>10</xdr:col>
                    <xdr:colOff>323850</xdr:colOff>
                    <xdr:row>7</xdr:row>
                    <xdr:rowOff>171450</xdr:rowOff>
                  </from>
                  <to>
                    <xdr:col>10</xdr:col>
                    <xdr:colOff>495300</xdr:colOff>
                    <xdr:row>7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5" name="Group Box 64">
              <controlPr defaultSize="0" autoFill="0" autoPict="0">
                <anchor moveWithCells="1">
                  <from>
                    <xdr:col>7</xdr:col>
                    <xdr:colOff>95250</xdr:colOff>
                    <xdr:row>7</xdr:row>
                    <xdr:rowOff>47625</xdr:rowOff>
                  </from>
                  <to>
                    <xdr:col>10</xdr:col>
                    <xdr:colOff>676275</xdr:colOff>
                    <xdr:row>7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6" name="B_24">
              <controlPr defaultSize="0" autoFill="0" autoLine="0" autoPict="0">
                <anchor moveWithCells="1">
                  <from>
                    <xdr:col>7</xdr:col>
                    <xdr:colOff>314325</xdr:colOff>
                    <xdr:row>8</xdr:row>
                    <xdr:rowOff>171450</xdr:rowOff>
                  </from>
                  <to>
                    <xdr:col>7</xdr:col>
                    <xdr:colOff>485775</xdr:colOff>
                    <xdr:row>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7" name="B_25">
              <controlPr defaultSize="0" autoFill="0" autoLine="0" autoPict="0">
                <anchor moveWithCells="1">
                  <from>
                    <xdr:col>8</xdr:col>
                    <xdr:colOff>314325</xdr:colOff>
                    <xdr:row>8</xdr:row>
                    <xdr:rowOff>171450</xdr:rowOff>
                  </from>
                  <to>
                    <xdr:col>8</xdr:col>
                    <xdr:colOff>485775</xdr:colOff>
                    <xdr:row>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68" name="B_26">
              <controlPr defaultSize="0" autoFill="0" autoLine="0" autoPict="0">
                <anchor moveWithCells="1">
                  <from>
                    <xdr:col>9</xdr:col>
                    <xdr:colOff>323850</xdr:colOff>
                    <xdr:row>8</xdr:row>
                    <xdr:rowOff>171450</xdr:rowOff>
                  </from>
                  <to>
                    <xdr:col>9</xdr:col>
                    <xdr:colOff>495300</xdr:colOff>
                    <xdr:row>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69" name="B_27">
              <controlPr defaultSize="0" autoFill="0" autoLine="0" autoPict="0">
                <anchor moveWithCells="1">
                  <from>
                    <xdr:col>10</xdr:col>
                    <xdr:colOff>323850</xdr:colOff>
                    <xdr:row>8</xdr:row>
                    <xdr:rowOff>171450</xdr:rowOff>
                  </from>
                  <to>
                    <xdr:col>10</xdr:col>
                    <xdr:colOff>495300</xdr:colOff>
                    <xdr:row>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0" name="Group Box 69">
              <controlPr defaultSize="0" autoFill="0" autoPict="0">
                <anchor moveWithCells="1">
                  <from>
                    <xdr:col>7</xdr:col>
                    <xdr:colOff>95250</xdr:colOff>
                    <xdr:row>8</xdr:row>
                    <xdr:rowOff>47625</xdr:rowOff>
                  </from>
                  <to>
                    <xdr:col>10</xdr:col>
                    <xdr:colOff>676275</xdr:colOff>
                    <xdr:row>8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1" name="B_33">
              <controlPr defaultSize="0" autoFill="0" autoLine="0" autoPict="0">
                <anchor moveWithCells="1">
                  <from>
                    <xdr:col>7</xdr:col>
                    <xdr:colOff>314325</xdr:colOff>
                    <xdr:row>9</xdr:row>
                    <xdr:rowOff>171450</xdr:rowOff>
                  </from>
                  <to>
                    <xdr:col>7</xdr:col>
                    <xdr:colOff>485775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2" name="B_34">
              <controlPr defaultSize="0" autoFill="0" autoLine="0" autoPict="0">
                <anchor moveWithCells="1">
                  <from>
                    <xdr:col>8</xdr:col>
                    <xdr:colOff>314325</xdr:colOff>
                    <xdr:row>9</xdr:row>
                    <xdr:rowOff>171450</xdr:rowOff>
                  </from>
                  <to>
                    <xdr:col>8</xdr:col>
                    <xdr:colOff>485775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73" name="B_35">
              <controlPr defaultSize="0" autoFill="0" autoLine="0" autoPict="0">
                <anchor moveWithCells="1">
                  <from>
                    <xdr:col>9</xdr:col>
                    <xdr:colOff>323850</xdr:colOff>
                    <xdr:row>9</xdr:row>
                    <xdr:rowOff>171450</xdr:rowOff>
                  </from>
                  <to>
                    <xdr:col>9</xdr:col>
                    <xdr:colOff>495300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74" name="B_36">
              <controlPr defaultSize="0" autoFill="0" autoLine="0" autoPict="0">
                <anchor moveWithCells="1">
                  <from>
                    <xdr:col>10</xdr:col>
                    <xdr:colOff>323850</xdr:colOff>
                    <xdr:row>9</xdr:row>
                    <xdr:rowOff>171450</xdr:rowOff>
                  </from>
                  <to>
                    <xdr:col>10</xdr:col>
                    <xdr:colOff>495300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75" name="Group Box 79">
              <controlPr defaultSize="0" autoFill="0" autoPict="0">
                <anchor moveWithCells="1">
                  <from>
                    <xdr:col>7</xdr:col>
                    <xdr:colOff>95250</xdr:colOff>
                    <xdr:row>9</xdr:row>
                    <xdr:rowOff>47625</xdr:rowOff>
                  </from>
                  <to>
                    <xdr:col>10</xdr:col>
                    <xdr:colOff>676275</xdr:colOff>
                    <xdr:row>9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76" name="B_42">
              <controlPr defaultSize="0" autoFill="0" autoLine="0" autoPict="0">
                <anchor moveWithCells="1">
                  <from>
                    <xdr:col>7</xdr:col>
                    <xdr:colOff>314325</xdr:colOff>
                    <xdr:row>10</xdr:row>
                    <xdr:rowOff>171450</xdr:rowOff>
                  </from>
                  <to>
                    <xdr:col>7</xdr:col>
                    <xdr:colOff>485775</xdr:colOff>
                    <xdr:row>10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77" name="B_43">
              <controlPr defaultSize="0" autoFill="0" autoLine="0" autoPict="0">
                <anchor moveWithCells="1">
                  <from>
                    <xdr:col>8</xdr:col>
                    <xdr:colOff>314325</xdr:colOff>
                    <xdr:row>10</xdr:row>
                    <xdr:rowOff>171450</xdr:rowOff>
                  </from>
                  <to>
                    <xdr:col>8</xdr:col>
                    <xdr:colOff>485775</xdr:colOff>
                    <xdr:row>10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78" name="B_44">
              <controlPr defaultSize="0" autoFill="0" autoLine="0" autoPict="0">
                <anchor moveWithCells="1">
                  <from>
                    <xdr:col>9</xdr:col>
                    <xdr:colOff>323850</xdr:colOff>
                    <xdr:row>10</xdr:row>
                    <xdr:rowOff>171450</xdr:rowOff>
                  </from>
                  <to>
                    <xdr:col>9</xdr:col>
                    <xdr:colOff>495300</xdr:colOff>
                    <xdr:row>10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79" name="B_45">
              <controlPr defaultSize="0" autoFill="0" autoLine="0" autoPict="0">
                <anchor moveWithCells="1">
                  <from>
                    <xdr:col>10</xdr:col>
                    <xdr:colOff>323850</xdr:colOff>
                    <xdr:row>10</xdr:row>
                    <xdr:rowOff>171450</xdr:rowOff>
                  </from>
                  <to>
                    <xdr:col>10</xdr:col>
                    <xdr:colOff>495300</xdr:colOff>
                    <xdr:row>10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0" name="Group Box 84">
              <controlPr defaultSize="0" autoFill="0" autoPict="0">
                <anchor moveWithCells="1">
                  <from>
                    <xdr:col>7</xdr:col>
                    <xdr:colOff>95250</xdr:colOff>
                    <xdr:row>10</xdr:row>
                    <xdr:rowOff>47625</xdr:rowOff>
                  </from>
                  <to>
                    <xdr:col>10</xdr:col>
                    <xdr:colOff>676275</xdr:colOff>
                    <xdr:row>10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1" name="B_51">
              <controlPr defaultSize="0" autoFill="0" autoLine="0" autoPict="0">
                <anchor moveWithCells="1">
                  <from>
                    <xdr:col>7</xdr:col>
                    <xdr:colOff>314325</xdr:colOff>
                    <xdr:row>11</xdr:row>
                    <xdr:rowOff>171450</xdr:rowOff>
                  </from>
                  <to>
                    <xdr:col>7</xdr:col>
                    <xdr:colOff>485775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2" name="B_52">
              <controlPr defaultSize="0" autoFill="0" autoLine="0" autoPict="0">
                <anchor moveWithCells="1">
                  <from>
                    <xdr:col>8</xdr:col>
                    <xdr:colOff>314325</xdr:colOff>
                    <xdr:row>11</xdr:row>
                    <xdr:rowOff>171450</xdr:rowOff>
                  </from>
                  <to>
                    <xdr:col>8</xdr:col>
                    <xdr:colOff>485775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83" name="B_53">
              <controlPr defaultSize="0" autoFill="0" autoLine="0" autoPict="0">
                <anchor moveWithCells="1">
                  <from>
                    <xdr:col>9</xdr:col>
                    <xdr:colOff>323850</xdr:colOff>
                    <xdr:row>11</xdr:row>
                    <xdr:rowOff>171450</xdr:rowOff>
                  </from>
                  <to>
                    <xdr:col>9</xdr:col>
                    <xdr:colOff>495300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84" name="B_54">
              <controlPr defaultSize="0" autoFill="0" autoLine="0" autoPict="0">
                <anchor moveWithCells="1">
                  <from>
                    <xdr:col>10</xdr:col>
                    <xdr:colOff>323850</xdr:colOff>
                    <xdr:row>11</xdr:row>
                    <xdr:rowOff>171450</xdr:rowOff>
                  </from>
                  <to>
                    <xdr:col>10</xdr:col>
                    <xdr:colOff>495300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85" name="Group Box 89">
              <controlPr defaultSize="0" autoFill="0" autoPict="0">
                <anchor moveWithCells="1">
                  <from>
                    <xdr:col>7</xdr:col>
                    <xdr:colOff>95250</xdr:colOff>
                    <xdr:row>11</xdr:row>
                    <xdr:rowOff>47625</xdr:rowOff>
                  </from>
                  <to>
                    <xdr:col>10</xdr:col>
                    <xdr:colOff>676275</xdr:colOff>
                    <xdr:row>11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86" name="B_60">
              <controlPr defaultSize="0" autoFill="0" autoLine="0" autoPict="0">
                <anchor moveWithCells="1">
                  <from>
                    <xdr:col>7</xdr:col>
                    <xdr:colOff>314325</xdr:colOff>
                    <xdr:row>12</xdr:row>
                    <xdr:rowOff>171450</xdr:rowOff>
                  </from>
                  <to>
                    <xdr:col>7</xdr:col>
                    <xdr:colOff>485775</xdr:colOff>
                    <xdr:row>12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87" name="B_61">
              <controlPr defaultSize="0" autoFill="0" autoLine="0" autoPict="0">
                <anchor moveWithCells="1">
                  <from>
                    <xdr:col>8</xdr:col>
                    <xdr:colOff>314325</xdr:colOff>
                    <xdr:row>12</xdr:row>
                    <xdr:rowOff>171450</xdr:rowOff>
                  </from>
                  <to>
                    <xdr:col>8</xdr:col>
                    <xdr:colOff>485775</xdr:colOff>
                    <xdr:row>12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88" name="B_62">
              <controlPr defaultSize="0" autoFill="0" autoLine="0" autoPict="0">
                <anchor moveWithCells="1">
                  <from>
                    <xdr:col>9</xdr:col>
                    <xdr:colOff>323850</xdr:colOff>
                    <xdr:row>12</xdr:row>
                    <xdr:rowOff>171450</xdr:rowOff>
                  </from>
                  <to>
                    <xdr:col>9</xdr:col>
                    <xdr:colOff>495300</xdr:colOff>
                    <xdr:row>12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89" name="B_63">
              <controlPr defaultSize="0" autoFill="0" autoLine="0" autoPict="0">
                <anchor moveWithCells="1">
                  <from>
                    <xdr:col>10</xdr:col>
                    <xdr:colOff>323850</xdr:colOff>
                    <xdr:row>12</xdr:row>
                    <xdr:rowOff>171450</xdr:rowOff>
                  </from>
                  <to>
                    <xdr:col>10</xdr:col>
                    <xdr:colOff>495300</xdr:colOff>
                    <xdr:row>12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0" name="Group Box 94">
              <controlPr defaultSize="0" autoFill="0" autoPict="0">
                <anchor moveWithCells="1">
                  <from>
                    <xdr:col>7</xdr:col>
                    <xdr:colOff>95250</xdr:colOff>
                    <xdr:row>12</xdr:row>
                    <xdr:rowOff>47625</xdr:rowOff>
                  </from>
                  <to>
                    <xdr:col>10</xdr:col>
                    <xdr:colOff>676275</xdr:colOff>
                    <xdr:row>12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91" name="B_66">
              <controlPr defaultSize="0" autoFill="0" autoLine="0" autoPict="0">
                <anchor moveWithCells="1">
                  <from>
                    <xdr:col>4</xdr:col>
                    <xdr:colOff>304800</xdr:colOff>
                    <xdr:row>14</xdr:row>
                    <xdr:rowOff>171450</xdr:rowOff>
                  </from>
                  <to>
                    <xdr:col>4</xdr:col>
                    <xdr:colOff>485775</xdr:colOff>
                    <xdr:row>14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92" name="B_67">
              <controlPr defaultSize="0" autoFill="0" autoLine="0" autoPict="0">
                <anchor moveWithCells="1">
                  <from>
                    <xdr:col>5</xdr:col>
                    <xdr:colOff>390525</xdr:colOff>
                    <xdr:row>14</xdr:row>
                    <xdr:rowOff>171450</xdr:rowOff>
                  </from>
                  <to>
                    <xdr:col>5</xdr:col>
                    <xdr:colOff>571500</xdr:colOff>
                    <xdr:row>14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93" name="B_68">
              <controlPr defaultSize="0" autoFill="0" autoLine="0" autoPict="0">
                <anchor moveWithCells="1">
                  <from>
                    <xdr:col>6</xdr:col>
                    <xdr:colOff>342900</xdr:colOff>
                    <xdr:row>14</xdr:row>
                    <xdr:rowOff>171450</xdr:rowOff>
                  </from>
                  <to>
                    <xdr:col>6</xdr:col>
                    <xdr:colOff>523875</xdr:colOff>
                    <xdr:row>14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94" name="Group Box 111">
              <controlPr defaultSize="0" autoFill="0" autoPict="0">
                <anchor moveWithCells="1">
                  <from>
                    <xdr:col>4</xdr:col>
                    <xdr:colOff>57150</xdr:colOff>
                    <xdr:row>14</xdr:row>
                    <xdr:rowOff>57150</xdr:rowOff>
                  </from>
                  <to>
                    <xdr:col>6</xdr:col>
                    <xdr:colOff>723900</xdr:colOff>
                    <xdr:row>14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95" name="B_69">
              <controlPr defaultSize="0" autoFill="0" autoLine="0" autoPict="0">
                <anchor moveWithCells="1">
                  <from>
                    <xdr:col>7</xdr:col>
                    <xdr:colOff>314325</xdr:colOff>
                    <xdr:row>14</xdr:row>
                    <xdr:rowOff>171450</xdr:rowOff>
                  </from>
                  <to>
                    <xdr:col>7</xdr:col>
                    <xdr:colOff>485775</xdr:colOff>
                    <xdr:row>14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96" name="B_70">
              <controlPr defaultSize="0" autoFill="0" autoLine="0" autoPict="0">
                <anchor moveWithCells="1">
                  <from>
                    <xdr:col>8</xdr:col>
                    <xdr:colOff>314325</xdr:colOff>
                    <xdr:row>14</xdr:row>
                    <xdr:rowOff>171450</xdr:rowOff>
                  </from>
                  <to>
                    <xdr:col>8</xdr:col>
                    <xdr:colOff>485775</xdr:colOff>
                    <xdr:row>14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97" name="B_71">
              <controlPr defaultSize="0" autoFill="0" autoLine="0" autoPict="0">
                <anchor moveWithCells="1">
                  <from>
                    <xdr:col>9</xdr:col>
                    <xdr:colOff>323850</xdr:colOff>
                    <xdr:row>14</xdr:row>
                    <xdr:rowOff>171450</xdr:rowOff>
                  </from>
                  <to>
                    <xdr:col>9</xdr:col>
                    <xdr:colOff>495300</xdr:colOff>
                    <xdr:row>14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98" name="B_72">
              <controlPr defaultSize="0" autoFill="0" autoLine="0" autoPict="0">
                <anchor moveWithCells="1">
                  <from>
                    <xdr:col>10</xdr:col>
                    <xdr:colOff>323850</xdr:colOff>
                    <xdr:row>14</xdr:row>
                    <xdr:rowOff>171450</xdr:rowOff>
                  </from>
                  <to>
                    <xdr:col>10</xdr:col>
                    <xdr:colOff>495300</xdr:colOff>
                    <xdr:row>14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99" name="Group Box 116">
              <controlPr defaultSize="0" autoFill="0" autoPict="0">
                <anchor moveWithCells="1">
                  <from>
                    <xdr:col>7</xdr:col>
                    <xdr:colOff>95250</xdr:colOff>
                    <xdr:row>14</xdr:row>
                    <xdr:rowOff>47625</xdr:rowOff>
                  </from>
                  <to>
                    <xdr:col>10</xdr:col>
                    <xdr:colOff>676275</xdr:colOff>
                    <xdr:row>14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"/>
  <dimension ref="A3:HO6"/>
  <sheetViews>
    <sheetView zoomScaleNormal="100" workbookViewId="0">
      <selection activeCell="A5" sqref="A5:D5"/>
    </sheetView>
  </sheetViews>
  <sheetFormatPr baseColWidth="10" defaultColWidth="11.5703125" defaultRowHeight="15" x14ac:dyDescent="0.25"/>
  <cols>
    <col min="5" max="5" width="12.85546875" bestFit="1" customWidth="1"/>
    <col min="10" max="10" width="11.5703125" style="54"/>
    <col min="18" max="18" width="14.5703125" bestFit="1" customWidth="1"/>
    <col min="20" max="20" width="24.7109375" bestFit="1" customWidth="1"/>
    <col min="21" max="21" width="16.7109375" bestFit="1" customWidth="1"/>
    <col min="32" max="32" width="13" customWidth="1"/>
    <col min="54" max="54" width="15.42578125" customWidth="1"/>
    <col min="77" max="77" width="14.85546875" customWidth="1"/>
    <col min="171" max="179" width="11.7109375" bestFit="1" customWidth="1"/>
    <col min="180" max="180" width="12.42578125" bestFit="1" customWidth="1"/>
    <col min="181" max="199" width="11.7109375" bestFit="1" customWidth="1"/>
    <col min="200" max="200" width="13.28515625" bestFit="1" customWidth="1"/>
    <col min="201" max="208" width="11.7109375" bestFit="1" customWidth="1"/>
    <col min="209" max="209" width="13.7109375" bestFit="1" customWidth="1"/>
    <col min="210" max="218" width="11.7109375" bestFit="1" customWidth="1"/>
    <col min="219" max="219" width="13.85546875" bestFit="1" customWidth="1"/>
    <col min="220" max="220" width="18" customWidth="1"/>
    <col min="221" max="221" width="17.140625" customWidth="1"/>
    <col min="222" max="222" width="17.5703125" customWidth="1"/>
    <col min="223" max="223" width="20.28515625" customWidth="1"/>
  </cols>
  <sheetData>
    <row r="3" spans="1:223" ht="15.75" thickBot="1" x14ac:dyDescent="0.3"/>
    <row r="4" spans="1:223" ht="15.75" thickBot="1" x14ac:dyDescent="0.3">
      <c r="FO4" s="222"/>
      <c r="FP4" s="223"/>
      <c r="FQ4" s="223"/>
      <c r="FR4" s="223"/>
      <c r="FS4" s="223"/>
      <c r="FT4" s="223"/>
      <c r="FU4" s="223"/>
      <c r="FV4" s="223"/>
      <c r="FW4" s="223"/>
      <c r="FX4" s="223"/>
      <c r="FY4" s="223"/>
      <c r="FZ4" s="223"/>
      <c r="GA4" s="223"/>
      <c r="GB4" s="223"/>
      <c r="GC4" s="223"/>
      <c r="GD4" s="223"/>
      <c r="GE4" s="223"/>
      <c r="GF4" s="223"/>
      <c r="GG4" s="223"/>
      <c r="GH4" s="223"/>
      <c r="GI4" s="223"/>
      <c r="GJ4" s="223"/>
      <c r="GK4" s="223"/>
      <c r="GL4" s="223"/>
      <c r="GM4" s="223"/>
      <c r="GN4" s="223"/>
      <c r="GO4" s="223"/>
      <c r="GP4" s="223"/>
      <c r="GQ4" s="223"/>
      <c r="GR4" s="223"/>
      <c r="GS4" s="223"/>
      <c r="GT4" s="223"/>
      <c r="GU4" s="223"/>
      <c r="GV4" s="223"/>
      <c r="GW4" s="223"/>
      <c r="GX4" s="223"/>
      <c r="GY4" s="223"/>
      <c r="GZ4" s="223"/>
      <c r="HA4" s="223"/>
      <c r="HB4" s="223"/>
      <c r="HC4" s="223"/>
      <c r="HD4" s="223"/>
      <c r="HE4" s="223"/>
      <c r="HF4" s="223"/>
      <c r="HG4" s="223"/>
      <c r="HH4" s="223"/>
      <c r="HI4" s="223"/>
      <c r="HJ4" s="223"/>
      <c r="HK4" s="223"/>
      <c r="HL4" s="223"/>
      <c r="HM4" s="223"/>
      <c r="HN4" s="223"/>
      <c r="HO4" s="224"/>
    </row>
    <row r="5" spans="1:223" ht="21" customHeight="1" thickBot="1" x14ac:dyDescent="0.3">
      <c r="A5" s="216" t="s">
        <v>26</v>
      </c>
      <c r="B5" s="217"/>
      <c r="C5" s="217"/>
      <c r="D5" s="218"/>
      <c r="E5" s="219" t="s">
        <v>352</v>
      </c>
      <c r="F5" s="220"/>
      <c r="G5" s="220"/>
      <c r="H5" s="220"/>
      <c r="I5" s="220"/>
      <c r="J5" s="220"/>
      <c r="K5" s="216" t="s">
        <v>354</v>
      </c>
      <c r="L5" s="217"/>
      <c r="M5" s="217"/>
      <c r="N5" s="217"/>
      <c r="O5" s="217"/>
      <c r="P5" s="217"/>
      <c r="Q5" s="218"/>
      <c r="R5" s="219" t="s">
        <v>353</v>
      </c>
      <c r="S5" s="221"/>
      <c r="T5" s="216" t="s">
        <v>355</v>
      </c>
      <c r="U5" s="217"/>
      <c r="V5" s="217"/>
      <c r="W5" s="217"/>
      <c r="X5" s="217"/>
      <c r="Y5" s="217"/>
      <c r="Z5" s="217"/>
      <c r="AA5" s="217"/>
      <c r="AB5" s="217"/>
      <c r="AC5" s="217"/>
      <c r="AD5" s="217"/>
      <c r="AE5" s="217"/>
      <c r="AF5" s="218"/>
      <c r="AG5" s="219" t="s">
        <v>357</v>
      </c>
      <c r="AH5" s="220"/>
      <c r="AI5" s="220"/>
      <c r="AJ5" s="220"/>
      <c r="AK5" s="220"/>
      <c r="AL5" s="220"/>
      <c r="AM5" s="220"/>
      <c r="AN5" s="220"/>
      <c r="AO5" s="220"/>
      <c r="AP5" s="220"/>
      <c r="AQ5" s="220"/>
      <c r="AR5" s="220"/>
      <c r="AS5" s="220"/>
      <c r="AT5" s="220"/>
      <c r="AU5" s="220"/>
      <c r="AV5" s="220"/>
      <c r="AW5" s="220"/>
      <c r="AX5" s="220"/>
      <c r="AY5" s="220"/>
      <c r="AZ5" s="220"/>
      <c r="BA5" s="220"/>
      <c r="BB5" s="220"/>
      <c r="BC5" s="221"/>
      <c r="BD5" s="216" t="s">
        <v>179</v>
      </c>
      <c r="BE5" s="217"/>
      <c r="BF5" s="217"/>
      <c r="BG5" s="217"/>
      <c r="BH5" s="217"/>
      <c r="BI5" s="217"/>
      <c r="BJ5" s="217"/>
      <c r="BK5" s="217"/>
      <c r="BL5" s="217"/>
      <c r="BM5" s="217"/>
      <c r="BN5" s="217"/>
      <c r="BO5" s="217"/>
      <c r="BP5" s="217"/>
      <c r="BQ5" s="217"/>
      <c r="BR5" s="217"/>
      <c r="BS5" s="217"/>
      <c r="BT5" s="217"/>
      <c r="BU5" s="217"/>
      <c r="BV5" s="217"/>
      <c r="BW5" s="217"/>
      <c r="BX5" s="217"/>
      <c r="BY5" s="218"/>
      <c r="BZ5" s="219" t="s">
        <v>367</v>
      </c>
      <c r="CA5" s="220"/>
      <c r="CB5" s="220"/>
      <c r="CC5" s="220"/>
      <c r="CD5" s="220"/>
      <c r="CE5" s="220"/>
      <c r="CF5" s="220"/>
      <c r="CG5" s="220"/>
      <c r="CH5" s="220"/>
      <c r="CI5" s="220"/>
      <c r="CJ5" s="220"/>
      <c r="CK5" s="220"/>
      <c r="CL5" s="220"/>
      <c r="CM5" s="220"/>
      <c r="CN5" s="220"/>
      <c r="CO5" s="220"/>
      <c r="CP5" s="220"/>
      <c r="CQ5" s="220"/>
      <c r="CR5" s="220"/>
      <c r="CS5" s="220"/>
      <c r="CT5" s="220"/>
      <c r="CU5" s="220"/>
      <c r="CV5" s="220"/>
      <c r="CW5" s="220"/>
      <c r="CX5" s="220"/>
      <c r="CY5" s="220"/>
      <c r="CZ5" s="220"/>
      <c r="DA5" s="220"/>
      <c r="DB5" s="220"/>
      <c r="DC5" s="220"/>
      <c r="DD5" s="220"/>
      <c r="DE5" s="220"/>
      <c r="DF5" s="220"/>
      <c r="DG5" s="220"/>
      <c r="DH5" s="220"/>
      <c r="DI5" s="220"/>
      <c r="DJ5" s="220"/>
      <c r="DK5" s="220"/>
      <c r="DL5" s="220"/>
      <c r="DM5" s="220"/>
      <c r="DN5" s="220"/>
      <c r="DO5" s="220"/>
      <c r="DP5" s="220"/>
      <c r="DQ5" s="220"/>
      <c r="DR5" s="220"/>
      <c r="DS5" s="220"/>
      <c r="DT5" s="220"/>
      <c r="DU5" s="220"/>
      <c r="DV5" s="220"/>
      <c r="DW5" s="221"/>
      <c r="DX5" s="216" t="s">
        <v>368</v>
      </c>
      <c r="DY5" s="217"/>
      <c r="DZ5" s="217"/>
      <c r="EA5" s="217"/>
      <c r="EB5" s="217"/>
      <c r="EC5" s="217"/>
      <c r="ED5" s="217"/>
      <c r="EE5" s="217"/>
      <c r="EF5" s="217"/>
      <c r="EG5" s="218"/>
      <c r="EH5" s="219" t="s">
        <v>369</v>
      </c>
      <c r="EI5" s="220"/>
      <c r="EJ5" s="220"/>
      <c r="EK5" s="220"/>
      <c r="EL5" s="220"/>
      <c r="EM5" s="220"/>
      <c r="EN5" s="220"/>
      <c r="EO5" s="220"/>
      <c r="EP5" s="220"/>
      <c r="EQ5" s="220"/>
      <c r="ER5" s="220"/>
      <c r="ES5" s="220"/>
      <c r="ET5" s="220"/>
      <c r="EU5" s="220"/>
      <c r="EV5" s="220"/>
      <c r="EW5" s="220"/>
      <c r="EX5" s="220"/>
      <c r="EY5" s="220"/>
      <c r="EZ5" s="220"/>
      <c r="FA5" s="220"/>
      <c r="FB5" s="220"/>
      <c r="FC5" s="220"/>
      <c r="FD5" s="220"/>
      <c r="FE5" s="220"/>
      <c r="FF5" s="220"/>
      <c r="FG5" s="220"/>
      <c r="FH5" s="220"/>
      <c r="FI5" s="220"/>
      <c r="FJ5" s="220"/>
      <c r="FK5" s="220"/>
      <c r="FL5" s="220"/>
      <c r="FM5" s="220"/>
      <c r="FN5" s="221"/>
      <c r="FO5" s="225" t="s">
        <v>169</v>
      </c>
      <c r="FP5" s="226"/>
      <c r="FQ5" s="226"/>
      <c r="FR5" s="226"/>
      <c r="FS5" s="226"/>
      <c r="FT5" s="226"/>
      <c r="FU5" s="226"/>
      <c r="FV5" s="226"/>
      <c r="FW5" s="226"/>
      <c r="FX5" s="227"/>
      <c r="FY5" s="228" t="s">
        <v>170</v>
      </c>
      <c r="FZ5" s="230"/>
      <c r="GA5" s="230"/>
      <c r="GB5" s="230"/>
      <c r="GC5" s="230"/>
      <c r="GD5" s="230"/>
      <c r="GE5" s="230"/>
      <c r="GF5" s="230"/>
      <c r="GG5" s="230"/>
      <c r="GH5" s="229"/>
      <c r="GI5" s="225" t="s">
        <v>171</v>
      </c>
      <c r="GJ5" s="226"/>
      <c r="GK5" s="226"/>
      <c r="GL5" s="226"/>
      <c r="GM5" s="226"/>
      <c r="GN5" s="226"/>
      <c r="GO5" s="226"/>
      <c r="GP5" s="226"/>
      <c r="GQ5" s="227"/>
      <c r="GR5" s="228" t="s">
        <v>177</v>
      </c>
      <c r="GS5" s="230"/>
      <c r="GT5" s="230"/>
      <c r="GU5" s="230"/>
      <c r="GV5" s="230"/>
      <c r="GW5" s="230"/>
      <c r="GX5" s="230"/>
      <c r="GY5" s="230"/>
      <c r="GZ5" s="230"/>
      <c r="HA5" s="229"/>
      <c r="HB5" s="225" t="s">
        <v>176</v>
      </c>
      <c r="HC5" s="226"/>
      <c r="HD5" s="226"/>
      <c r="HE5" s="226"/>
      <c r="HF5" s="226"/>
      <c r="HG5" s="226"/>
      <c r="HH5" s="226"/>
      <c r="HI5" s="226"/>
      <c r="HJ5" s="226"/>
      <c r="HK5" s="227"/>
      <c r="HL5" s="228" t="s">
        <v>370</v>
      </c>
      <c r="HM5" s="229"/>
      <c r="HN5" s="225" t="s">
        <v>372</v>
      </c>
      <c r="HO5" s="227"/>
    </row>
    <row r="6" spans="1:223" ht="18" x14ac:dyDescent="0.35">
      <c r="A6" s="48" t="s">
        <v>24</v>
      </c>
      <c r="B6" s="48" t="s">
        <v>25</v>
      </c>
      <c r="C6" s="48" t="s">
        <v>27</v>
      </c>
      <c r="D6" t="s">
        <v>26</v>
      </c>
      <c r="E6" s="48" t="s">
        <v>352</v>
      </c>
      <c r="F6" s="48" t="s">
        <v>2</v>
      </c>
      <c r="G6" s="48" t="s">
        <v>3</v>
      </c>
      <c r="H6" s="48" t="s">
        <v>4</v>
      </c>
      <c r="I6" s="48" t="s">
        <v>5</v>
      </c>
      <c r="J6" s="55" t="s">
        <v>87</v>
      </c>
      <c r="K6" s="48" t="s">
        <v>354</v>
      </c>
      <c r="L6" s="48" t="s">
        <v>218</v>
      </c>
      <c r="M6" s="48" t="s">
        <v>219</v>
      </c>
      <c r="N6" s="48" t="s">
        <v>220</v>
      </c>
      <c r="O6" s="48" t="s">
        <v>381</v>
      </c>
      <c r="P6" s="48" t="s">
        <v>215</v>
      </c>
      <c r="Q6" s="48" t="s">
        <v>216</v>
      </c>
      <c r="R6" s="48" t="s">
        <v>353</v>
      </c>
      <c r="S6" s="48" t="s">
        <v>221</v>
      </c>
      <c r="T6" s="48" t="s">
        <v>355</v>
      </c>
      <c r="U6" s="48" t="s">
        <v>356</v>
      </c>
      <c r="V6" s="48" t="s">
        <v>180</v>
      </c>
      <c r="W6" s="48" t="s">
        <v>181</v>
      </c>
      <c r="X6" s="48" t="s">
        <v>182</v>
      </c>
      <c r="Y6" s="48" t="s">
        <v>183</v>
      </c>
      <c r="Z6" s="48" t="s">
        <v>212</v>
      </c>
      <c r="AA6" s="48" t="s">
        <v>222</v>
      </c>
      <c r="AB6" s="48" t="s">
        <v>223</v>
      </c>
      <c r="AC6" s="48" t="s">
        <v>89</v>
      </c>
      <c r="AD6" s="48" t="s">
        <v>90</v>
      </c>
      <c r="AE6" s="48" t="s">
        <v>91</v>
      </c>
      <c r="AF6" s="48" t="s">
        <v>88</v>
      </c>
      <c r="AG6" s="48" t="s">
        <v>148</v>
      </c>
      <c r="AH6" s="48" t="s">
        <v>224</v>
      </c>
      <c r="AI6" s="48" t="s">
        <v>225</v>
      </c>
      <c r="AJ6" s="48" t="s">
        <v>92</v>
      </c>
      <c r="AK6" s="48" t="s">
        <v>234</v>
      </c>
      <c r="AL6" s="48" t="s">
        <v>235</v>
      </c>
      <c r="AM6" s="48" t="s">
        <v>226</v>
      </c>
      <c r="AN6" s="48" t="s">
        <v>227</v>
      </c>
      <c r="AO6" s="48" t="s">
        <v>228</v>
      </c>
      <c r="AP6" s="48" t="s">
        <v>229</v>
      </c>
      <c r="AQ6" s="48" t="s">
        <v>230</v>
      </c>
      <c r="AR6" s="48" t="s">
        <v>231</v>
      </c>
      <c r="AS6" s="48" t="s">
        <v>232</v>
      </c>
      <c r="AT6" s="48" t="s">
        <v>233</v>
      </c>
      <c r="AU6" s="48" t="s">
        <v>95</v>
      </c>
      <c r="AV6" s="48" t="s">
        <v>96</v>
      </c>
      <c r="AW6" s="48" t="s">
        <v>120</v>
      </c>
      <c r="AX6" s="48" t="s">
        <v>121</v>
      </c>
      <c r="AY6" s="48" t="s">
        <v>122</v>
      </c>
      <c r="AZ6" s="48" t="s">
        <v>123</v>
      </c>
      <c r="BA6" s="48" t="s">
        <v>124</v>
      </c>
      <c r="BB6" s="48" t="s">
        <v>125</v>
      </c>
      <c r="BC6" s="48" t="s">
        <v>104</v>
      </c>
      <c r="BD6" s="48" t="s">
        <v>152</v>
      </c>
      <c r="BE6" s="48" t="s">
        <v>236</v>
      </c>
      <c r="BF6" s="48" t="s">
        <v>237</v>
      </c>
      <c r="BG6" s="48" t="s">
        <v>238</v>
      </c>
      <c r="BH6" s="48" t="s">
        <v>239</v>
      </c>
      <c r="BI6" s="48" t="s">
        <v>240</v>
      </c>
      <c r="BJ6" s="48" t="s">
        <v>241</v>
      </c>
      <c r="BK6" s="48" t="s">
        <v>242</v>
      </c>
      <c r="BL6" s="48" t="s">
        <v>243</v>
      </c>
      <c r="BM6" s="48" t="s">
        <v>244</v>
      </c>
      <c r="BN6" s="48" t="s">
        <v>245</v>
      </c>
      <c r="BO6" s="48" t="s">
        <v>246</v>
      </c>
      <c r="BP6" s="48" t="s">
        <v>126</v>
      </c>
      <c r="BQ6" s="48" t="s">
        <v>105</v>
      </c>
      <c r="BR6" s="48" t="s">
        <v>127</v>
      </c>
      <c r="BS6" s="48" t="s">
        <v>128</v>
      </c>
      <c r="BT6" s="48" t="s">
        <v>129</v>
      </c>
      <c r="BU6" s="48" t="s">
        <v>130</v>
      </c>
      <c r="BV6" s="48" t="s">
        <v>131</v>
      </c>
      <c r="BW6" s="48" t="s">
        <v>132</v>
      </c>
      <c r="BX6" s="48" t="s">
        <v>133</v>
      </c>
      <c r="BY6" s="48" t="s">
        <v>119</v>
      </c>
      <c r="BZ6" s="48" t="s">
        <v>167</v>
      </c>
      <c r="CA6" s="48" t="s">
        <v>247</v>
      </c>
      <c r="CB6" s="48" t="s">
        <v>248</v>
      </c>
      <c r="CC6" s="48" t="s">
        <v>249</v>
      </c>
      <c r="CD6" s="48" t="s">
        <v>250</v>
      </c>
      <c r="CE6" s="48" t="s">
        <v>251</v>
      </c>
      <c r="CF6" s="48" t="s">
        <v>252</v>
      </c>
      <c r="CG6" s="48" t="s">
        <v>253</v>
      </c>
      <c r="CH6" s="48" t="s">
        <v>254</v>
      </c>
      <c r="CI6" s="48" t="s">
        <v>255</v>
      </c>
      <c r="CJ6" s="48" t="s">
        <v>256</v>
      </c>
      <c r="CK6" s="48" t="s">
        <v>257</v>
      </c>
      <c r="CL6" s="48" t="s">
        <v>258</v>
      </c>
      <c r="CM6" s="48" t="s">
        <v>259</v>
      </c>
      <c r="CN6" s="48" t="s">
        <v>260</v>
      </c>
      <c r="CO6" s="48" t="s">
        <v>261</v>
      </c>
      <c r="CP6" s="48" t="s">
        <v>107</v>
      </c>
      <c r="CQ6" s="48" t="s">
        <v>262</v>
      </c>
      <c r="CR6" s="48" t="s">
        <v>263</v>
      </c>
      <c r="CS6" s="48" t="s">
        <v>264</v>
      </c>
      <c r="CT6" s="48" t="s">
        <v>265</v>
      </c>
      <c r="CU6" s="48" t="s">
        <v>266</v>
      </c>
      <c r="CV6" s="48" t="s">
        <v>267</v>
      </c>
      <c r="CW6" s="48" t="s">
        <v>268</v>
      </c>
      <c r="CX6" s="48" t="s">
        <v>269</v>
      </c>
      <c r="CY6" s="48" t="s">
        <v>270</v>
      </c>
      <c r="CZ6" s="48" t="s">
        <v>271</v>
      </c>
      <c r="DA6" s="48" t="s">
        <v>162</v>
      </c>
      <c r="DB6" s="48" t="s">
        <v>163</v>
      </c>
      <c r="DC6" s="48" t="s">
        <v>164</v>
      </c>
      <c r="DD6" s="48" t="s">
        <v>165</v>
      </c>
      <c r="DE6" s="48" t="s">
        <v>166</v>
      </c>
      <c r="DF6" s="48" t="s">
        <v>109</v>
      </c>
      <c r="DG6" s="48" t="s">
        <v>272</v>
      </c>
      <c r="DH6" s="48" t="s">
        <v>273</v>
      </c>
      <c r="DI6" s="48" t="s">
        <v>274</v>
      </c>
      <c r="DJ6" s="48" t="s">
        <v>275</v>
      </c>
      <c r="DK6" s="48" t="s">
        <v>276</v>
      </c>
      <c r="DL6" s="48" t="s">
        <v>277</v>
      </c>
      <c r="DM6" s="48" t="s">
        <v>278</v>
      </c>
      <c r="DN6" s="48" t="s">
        <v>279</v>
      </c>
      <c r="DO6" s="48" t="s">
        <v>110</v>
      </c>
      <c r="DP6" s="48" t="s">
        <v>116</v>
      </c>
      <c r="DQ6" s="48" t="s">
        <v>117</v>
      </c>
      <c r="DR6" s="48" t="s">
        <v>115</v>
      </c>
      <c r="DS6" s="48" t="s">
        <v>114</v>
      </c>
      <c r="DT6" s="48" t="s">
        <v>113</v>
      </c>
      <c r="DU6" s="48" t="s">
        <v>112</v>
      </c>
      <c r="DV6" s="48" t="s">
        <v>111</v>
      </c>
      <c r="DW6" s="48" t="s">
        <v>118</v>
      </c>
      <c r="DX6" s="27" t="s">
        <v>168</v>
      </c>
      <c r="DY6" s="48" t="s">
        <v>280</v>
      </c>
      <c r="DZ6" s="48" t="s">
        <v>281</v>
      </c>
      <c r="EA6" s="48" t="s">
        <v>282</v>
      </c>
      <c r="EB6" s="48" t="s">
        <v>283</v>
      </c>
      <c r="EC6" s="48" t="s">
        <v>284</v>
      </c>
      <c r="ED6" s="48" t="s">
        <v>285</v>
      </c>
      <c r="EE6" s="48" t="s">
        <v>286</v>
      </c>
      <c r="EF6" s="48" t="s">
        <v>380</v>
      </c>
      <c r="EG6" s="48" t="s">
        <v>144</v>
      </c>
      <c r="EH6" s="27" t="s">
        <v>358</v>
      </c>
      <c r="EI6" s="48" t="s">
        <v>359</v>
      </c>
      <c r="EJ6" s="48" t="s">
        <v>360</v>
      </c>
      <c r="EK6" s="48" t="s">
        <v>361</v>
      </c>
      <c r="EL6" s="48" t="s">
        <v>362</v>
      </c>
      <c r="EM6" s="48" t="s">
        <v>363</v>
      </c>
      <c r="EN6" s="48" t="s">
        <v>364</v>
      </c>
      <c r="EO6" s="48" t="s">
        <v>365</v>
      </c>
      <c r="EP6" s="48" t="s">
        <v>366</v>
      </c>
      <c r="EQ6" s="48" t="s">
        <v>287</v>
      </c>
      <c r="ER6" s="48" t="s">
        <v>288</v>
      </c>
      <c r="ES6" s="48" t="s">
        <v>289</v>
      </c>
      <c r="ET6" s="48" t="s">
        <v>290</v>
      </c>
      <c r="EU6" s="48" t="s">
        <v>291</v>
      </c>
      <c r="EV6" s="48" t="s">
        <v>311</v>
      </c>
      <c r="EW6" s="48" t="s">
        <v>292</v>
      </c>
      <c r="EX6" s="48" t="s">
        <v>293</v>
      </c>
      <c r="EY6" s="48" t="s">
        <v>294</v>
      </c>
      <c r="EZ6" s="48" t="s">
        <v>295</v>
      </c>
      <c r="FA6" s="48" t="s">
        <v>296</v>
      </c>
      <c r="FB6" s="48" t="s">
        <v>297</v>
      </c>
      <c r="FC6" s="48" t="s">
        <v>298</v>
      </c>
      <c r="FD6" s="48" t="s">
        <v>310</v>
      </c>
      <c r="FE6" s="48" t="s">
        <v>299</v>
      </c>
      <c r="FF6" s="48" t="s">
        <v>300</v>
      </c>
      <c r="FG6" s="48" t="s">
        <v>134</v>
      </c>
      <c r="FH6" s="48" t="s">
        <v>135</v>
      </c>
      <c r="FI6" s="48" t="s">
        <v>138</v>
      </c>
      <c r="FJ6" s="48" t="s">
        <v>143</v>
      </c>
      <c r="FK6" s="48" t="s">
        <v>142</v>
      </c>
      <c r="FL6" s="48" t="s">
        <v>141</v>
      </c>
      <c r="FM6" s="48" t="s">
        <v>140</v>
      </c>
      <c r="FN6" s="48" t="s">
        <v>139</v>
      </c>
      <c r="FO6" s="48" t="s">
        <v>301</v>
      </c>
      <c r="FP6" s="48" t="s">
        <v>302</v>
      </c>
      <c r="FQ6" s="48" t="s">
        <v>303</v>
      </c>
      <c r="FR6" s="48" t="s">
        <v>304</v>
      </c>
      <c r="FS6" s="48" t="s">
        <v>305</v>
      </c>
      <c r="FT6" s="48" t="s">
        <v>306</v>
      </c>
      <c r="FU6" s="48" t="s">
        <v>309</v>
      </c>
      <c r="FV6" s="48" t="s">
        <v>307</v>
      </c>
      <c r="FW6" s="48" t="s">
        <v>308</v>
      </c>
      <c r="FX6" s="48" t="s">
        <v>339</v>
      </c>
      <c r="FY6" s="48" t="s">
        <v>312</v>
      </c>
      <c r="FZ6" s="48" t="s">
        <v>313</v>
      </c>
      <c r="GA6" s="48" t="s">
        <v>314</v>
      </c>
      <c r="GB6" s="48" t="s">
        <v>315</v>
      </c>
      <c r="GC6" s="48" t="s">
        <v>316</v>
      </c>
      <c r="GD6" s="48" t="s">
        <v>317</v>
      </c>
      <c r="GE6" s="48" t="s">
        <v>318</v>
      </c>
      <c r="GF6" s="48" t="s">
        <v>319</v>
      </c>
      <c r="GG6" s="48" t="s">
        <v>320</v>
      </c>
      <c r="GH6" s="48" t="s">
        <v>340</v>
      </c>
      <c r="GI6" s="48" t="s">
        <v>321</v>
      </c>
      <c r="GJ6" s="48" t="s">
        <v>322</v>
      </c>
      <c r="GK6" s="48" t="s">
        <v>323</v>
      </c>
      <c r="GL6" s="48" t="s">
        <v>324</v>
      </c>
      <c r="GM6" s="48" t="s">
        <v>325</v>
      </c>
      <c r="GN6" s="48" t="s">
        <v>326</v>
      </c>
      <c r="GO6" s="48" t="s">
        <v>327</v>
      </c>
      <c r="GP6" s="48" t="s">
        <v>328</v>
      </c>
      <c r="GQ6" s="48" t="s">
        <v>329</v>
      </c>
      <c r="GR6" s="48" t="s">
        <v>330</v>
      </c>
      <c r="GS6" s="48" t="s">
        <v>331</v>
      </c>
      <c r="GT6" s="48" t="s">
        <v>332</v>
      </c>
      <c r="GU6" s="48" t="s">
        <v>333</v>
      </c>
      <c r="GV6" s="48" t="s">
        <v>334</v>
      </c>
      <c r="GW6" s="48" t="s">
        <v>335</v>
      </c>
      <c r="GX6" s="48" t="s">
        <v>336</v>
      </c>
      <c r="GY6" s="48" t="s">
        <v>337</v>
      </c>
      <c r="GZ6" s="48" t="s">
        <v>338</v>
      </c>
      <c r="HA6" s="48" t="s">
        <v>341</v>
      </c>
      <c r="HB6" s="48" t="s">
        <v>342</v>
      </c>
      <c r="HC6" s="48" t="s">
        <v>343</v>
      </c>
      <c r="HD6" s="48" t="s">
        <v>344</v>
      </c>
      <c r="HE6" s="48" t="s">
        <v>345</v>
      </c>
      <c r="HF6" s="48" t="s">
        <v>346</v>
      </c>
      <c r="HG6" s="48" t="s">
        <v>347</v>
      </c>
      <c r="HH6" s="48" t="s">
        <v>348</v>
      </c>
      <c r="HI6" s="48" t="s">
        <v>349</v>
      </c>
      <c r="HJ6" s="48" t="s">
        <v>350</v>
      </c>
      <c r="HK6" s="48" t="s">
        <v>351</v>
      </c>
      <c r="HL6" s="48" t="s">
        <v>213</v>
      </c>
      <c r="HM6" s="48" t="s">
        <v>214</v>
      </c>
      <c r="HN6" s="48" t="s">
        <v>371</v>
      </c>
      <c r="HO6" s="48" t="s">
        <v>217</v>
      </c>
    </row>
  </sheetData>
  <sheetProtection formatCells="0" formatColumns="0" formatRows="0" insertColumns="0" insertRows="0" insertHyperlinks="0" deleteColumns="0" deleteRows="0" sort="0" autoFilter="0" pivotTables="0"/>
  <mergeCells count="18">
    <mergeCell ref="FO4:HO4"/>
    <mergeCell ref="HB5:HK5"/>
    <mergeCell ref="HL5:HM5"/>
    <mergeCell ref="HN5:HO5"/>
    <mergeCell ref="EH5:FN5"/>
    <mergeCell ref="FO5:FX5"/>
    <mergeCell ref="FY5:GH5"/>
    <mergeCell ref="GI5:GQ5"/>
    <mergeCell ref="GR5:HA5"/>
    <mergeCell ref="DX5:EG5"/>
    <mergeCell ref="AG5:BC5"/>
    <mergeCell ref="BD5:BY5"/>
    <mergeCell ref="BZ5:DW5"/>
    <mergeCell ref="A5:D5"/>
    <mergeCell ref="E5:J5"/>
    <mergeCell ref="K5:Q5"/>
    <mergeCell ref="R5:S5"/>
    <mergeCell ref="T5:AF5"/>
  </mergeCells>
  <hyperlinks>
    <hyperlink ref="E5:J5" location="'2. Departamento'!A1" display="Departamento" xr:uid="{00000000-0004-0000-0B00-000000000000}"/>
    <hyperlink ref="A5:D5" location="'1. Empresa'!A1" display="Empresa" xr:uid="{00000000-0004-0000-0B00-000001000000}"/>
    <hyperlink ref="K5:Q5" location="'3. Puesto'!A1" display="Puesto" xr:uid="{00000000-0004-0000-0B00-000002000000}"/>
    <hyperlink ref="R5:S5" location="'4. Tarea'!A1" display="Tarea" xr:uid="{00000000-0004-0000-0B00-000003000000}"/>
    <hyperlink ref="T5:AF5" location="'5. Agente'!A1" display="Agente" xr:uid="{00000000-0004-0000-0B00-000004000000}"/>
    <hyperlink ref="AG5:BC5" location="'6. Emisión'!A1" display="Emisión" xr:uid="{00000000-0004-0000-0B00-000005000000}"/>
    <hyperlink ref="BD5:BY5" location="'6. Deposición'!A1" display="Deposición" xr:uid="{00000000-0004-0000-0B00-000006000000}"/>
    <hyperlink ref="BZ5:DW5" location="'6. Transferencia'!A1" display="Tranferencia" xr:uid="{00000000-0004-0000-0B00-000007000000}"/>
    <hyperlink ref="DX5:EF5" location="'6. Protección Guantes'!A1" display="Protección guantes" xr:uid="{00000000-0004-0000-0B00-000008000000}"/>
    <hyperlink ref="EH5:FN5" location="'6. Protección Ropa'!A1" display="Protección Ropa" xr:uid="{00000000-0004-0000-0B00-000009000000}"/>
  </hyperlink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191</vt:i4>
      </vt:variant>
    </vt:vector>
  </HeadingPairs>
  <TitlesOfParts>
    <vt:vector size="203" baseType="lpstr">
      <vt:lpstr>Inicio</vt:lpstr>
      <vt:lpstr>1. Empresa</vt:lpstr>
      <vt:lpstr>2. Departamento</vt:lpstr>
      <vt:lpstr>3. Puesto</vt:lpstr>
      <vt:lpstr>4. Tarea</vt:lpstr>
      <vt:lpstr>5. Agente</vt:lpstr>
      <vt:lpstr>6. Emisión</vt:lpstr>
      <vt:lpstr>6. Deposición</vt:lpstr>
      <vt:lpstr>6. Transferencia</vt:lpstr>
      <vt:lpstr>6. Protección Guantes</vt:lpstr>
      <vt:lpstr>6. Protección Ropa</vt:lpstr>
      <vt:lpstr>Data</vt:lpstr>
      <vt:lpstr>_6.1</vt:lpstr>
      <vt:lpstr>agente</vt:lpstr>
      <vt:lpstr>BC</vt:lpstr>
      <vt:lpstr>'6. Deposición'!brazosuperior</vt:lpstr>
      <vt:lpstr>brazosuperior</vt:lpstr>
      <vt:lpstr>C_FA</vt:lpstr>
      <vt:lpstr>C_FE</vt:lpstr>
      <vt:lpstr>C_HE</vt:lpstr>
      <vt:lpstr>C_LB</vt:lpstr>
      <vt:lpstr>C_LL</vt:lpstr>
      <vt:lpstr>C_TB</vt:lpstr>
      <vt:lpstr>C_TF</vt:lpstr>
      <vt:lpstr>C_UA</vt:lpstr>
      <vt:lpstr>'6. Deposición'!cabeza</vt:lpstr>
      <vt:lpstr>cabeza</vt:lpstr>
      <vt:lpstr>CE</vt:lpstr>
      <vt:lpstr>Cn</vt:lpstr>
      <vt:lpstr>D_FA</vt:lpstr>
      <vt:lpstr>D_FA1</vt:lpstr>
      <vt:lpstr>D_FE</vt:lpstr>
      <vt:lpstr>D_FE1</vt:lpstr>
      <vt:lpstr>D_HA</vt:lpstr>
      <vt:lpstr>D_HA1</vt:lpstr>
      <vt:lpstr>D_HE</vt:lpstr>
      <vt:lpstr>D_HE1</vt:lpstr>
      <vt:lpstr>D_LB</vt:lpstr>
      <vt:lpstr>D_LB1</vt:lpstr>
      <vt:lpstr>D_LL</vt:lpstr>
      <vt:lpstr>D_LL1</vt:lpstr>
      <vt:lpstr>D_TB</vt:lpstr>
      <vt:lpstr>D_TB1</vt:lpstr>
      <vt:lpstr>D_TF</vt:lpstr>
      <vt:lpstr>D_TF1</vt:lpstr>
      <vt:lpstr>D_TOT</vt:lpstr>
      <vt:lpstr>D_UA</vt:lpstr>
      <vt:lpstr>D_UA1</vt:lpstr>
      <vt:lpstr>Data_A</vt:lpstr>
      <vt:lpstr>Data_Agente</vt:lpstr>
      <vt:lpstr>Data_B</vt:lpstr>
      <vt:lpstr>Data_C</vt:lpstr>
      <vt:lpstr>Data_D</vt:lpstr>
      <vt:lpstr>Data_Departamento</vt:lpstr>
      <vt:lpstr>Data_Deposicion</vt:lpstr>
      <vt:lpstr>Data_E</vt:lpstr>
      <vt:lpstr>Data_Emision</vt:lpstr>
      <vt:lpstr>Data_Empresa</vt:lpstr>
      <vt:lpstr>Data_F</vt:lpstr>
      <vt:lpstr>Data_G</vt:lpstr>
      <vt:lpstr>Data_Guantes</vt:lpstr>
      <vt:lpstr>Data_Puesto</vt:lpstr>
      <vt:lpstr>Data_Ropa</vt:lpstr>
      <vt:lpstr>Data_Tarea</vt:lpstr>
      <vt:lpstr>Data_Transferencia</vt:lpstr>
      <vt:lpstr>DD_HE1</vt:lpstr>
      <vt:lpstr>DU</vt:lpstr>
      <vt:lpstr>E_FA</vt:lpstr>
      <vt:lpstr>E_FA1</vt:lpstr>
      <vt:lpstr>E_FE</vt:lpstr>
      <vt:lpstr>E_FE1</vt:lpstr>
      <vt:lpstr>E_HA</vt:lpstr>
      <vt:lpstr>E_HE</vt:lpstr>
      <vt:lpstr>E_HE1</vt:lpstr>
      <vt:lpstr>E_LB</vt:lpstr>
      <vt:lpstr>E_LB1</vt:lpstr>
      <vt:lpstr>E_LL</vt:lpstr>
      <vt:lpstr>E_LL1</vt:lpstr>
      <vt:lpstr>E_TB</vt:lpstr>
      <vt:lpstr>E_TB1</vt:lpstr>
      <vt:lpstr>E_TF</vt:lpstr>
      <vt:lpstr>E_TF1</vt:lpstr>
      <vt:lpstr>E_TOT</vt:lpstr>
      <vt:lpstr>E_UA</vt:lpstr>
      <vt:lpstr>E_UA1</vt:lpstr>
      <vt:lpstr>EC_1</vt:lpstr>
      <vt:lpstr>EC_2</vt:lpstr>
      <vt:lpstr>EC_3</vt:lpstr>
      <vt:lpstr>EH</vt:lpstr>
      <vt:lpstr>EH_FL</vt:lpstr>
      <vt:lpstr>EH_MC</vt:lpstr>
      <vt:lpstr>EH_TO</vt:lpstr>
      <vt:lpstr>EH_WT</vt:lpstr>
      <vt:lpstr>Ei</vt:lpstr>
      <vt:lpstr>Ei_L</vt:lpstr>
      <vt:lpstr>Ei_S</vt:lpstr>
      <vt:lpstr>Ei_V</vt:lpstr>
      <vt:lpstr>Empresa</vt:lpstr>
      <vt:lpstr>ER_D</vt:lpstr>
      <vt:lpstr>ER_E</vt:lpstr>
      <vt:lpstr>ER_R</vt:lpstr>
      <vt:lpstr>ER_T</vt:lpstr>
      <vt:lpstr>EV</vt:lpstr>
      <vt:lpstr>fecha</vt:lpstr>
      <vt:lpstr>Fm</vt:lpstr>
      <vt:lpstr>GC</vt:lpstr>
      <vt:lpstr>GD</vt:lpstr>
      <vt:lpstr>I_D.BP</vt:lpstr>
      <vt:lpstr>I_E.BP</vt:lpstr>
      <vt:lpstr>I_E.HA</vt:lpstr>
      <vt:lpstr>I_T.BP.FL</vt:lpstr>
      <vt:lpstr>I_T.BP.MA</vt:lpstr>
      <vt:lpstr>I_T.BP.OT</vt:lpstr>
      <vt:lpstr>I_T.BP.TA</vt:lpstr>
      <vt:lpstr>I_T.BP.TO</vt:lpstr>
      <vt:lpstr>I_T.HA.FL</vt:lpstr>
      <vt:lpstr>I_T.HA.MA</vt:lpstr>
      <vt:lpstr>I_T.HA.OT</vt:lpstr>
      <vt:lpstr>I_T.HA.TA</vt:lpstr>
      <vt:lpstr>I_T.HA.TO</vt:lpstr>
      <vt:lpstr>iactivo</vt:lpstr>
      <vt:lpstr>ID</vt:lpstr>
      <vt:lpstr>M</vt:lpstr>
      <vt:lpstr>M_FA</vt:lpstr>
      <vt:lpstr>M_FE</vt:lpstr>
      <vt:lpstr>M_HE</vt:lpstr>
      <vt:lpstr>M_LB</vt:lpstr>
      <vt:lpstr>M_LL</vt:lpstr>
      <vt:lpstr>M_TB</vt:lpstr>
      <vt:lpstr>M_TF</vt:lpstr>
      <vt:lpstr>M_UA</vt:lpstr>
      <vt:lpstr>NameDep</vt:lpstr>
      <vt:lpstr>O_FA</vt:lpstr>
      <vt:lpstr>O_FE</vt:lpstr>
      <vt:lpstr>O_HA</vt:lpstr>
      <vt:lpstr>O_HE</vt:lpstr>
      <vt:lpstr>O_LB</vt:lpstr>
      <vt:lpstr>O_LL</vt:lpstr>
      <vt:lpstr>O_TB</vt:lpstr>
      <vt:lpstr>O_TF</vt:lpstr>
      <vt:lpstr>O_UA</vt:lpstr>
      <vt:lpstr>Observador</vt:lpstr>
      <vt:lpstr>P_D.BP</vt:lpstr>
      <vt:lpstr>P_E.BP</vt:lpstr>
      <vt:lpstr>P_E.HA</vt:lpstr>
      <vt:lpstr>P_T.BP.FL</vt:lpstr>
      <vt:lpstr>P_T.BP.MA</vt:lpstr>
      <vt:lpstr>P_T.BP.OT</vt:lpstr>
      <vt:lpstr>P_T.BP.TA</vt:lpstr>
      <vt:lpstr>P_T.BP.TO</vt:lpstr>
      <vt:lpstr>P_T.HA.FL</vt:lpstr>
      <vt:lpstr>P_T.HA.MA</vt:lpstr>
      <vt:lpstr>P_T.HA.OT</vt:lpstr>
      <vt:lpstr>P_T.HA.TA</vt:lpstr>
      <vt:lpstr>P_T.HA.TO</vt:lpstr>
      <vt:lpstr>PFM_BP</vt:lpstr>
      <vt:lpstr>PFM_HA</vt:lpstr>
      <vt:lpstr>PS</vt:lpstr>
      <vt:lpstr>puesto</vt:lpstr>
      <vt:lpstr>RF</vt:lpstr>
      <vt:lpstr>RF_FA</vt:lpstr>
      <vt:lpstr>RF_FE</vt:lpstr>
      <vt:lpstr>RF_HE</vt:lpstr>
      <vt:lpstr>RF_LB</vt:lpstr>
      <vt:lpstr>RF_LL</vt:lpstr>
      <vt:lpstr>RF_TB</vt:lpstr>
      <vt:lpstr>RF_TF</vt:lpstr>
      <vt:lpstr>RF_UA</vt:lpstr>
      <vt:lpstr>RTD_CAT</vt:lpstr>
      <vt:lpstr>Skin_Job</vt:lpstr>
      <vt:lpstr>SS</vt:lpstr>
      <vt:lpstr>T_BP.FL</vt:lpstr>
      <vt:lpstr>T_BP.MA</vt:lpstr>
      <vt:lpstr>T_BP.OT</vt:lpstr>
      <vt:lpstr>T_BP.TA</vt:lpstr>
      <vt:lpstr>T_BP.TO</vt:lpstr>
      <vt:lpstr>T_FA</vt:lpstr>
      <vt:lpstr>T_FA1</vt:lpstr>
      <vt:lpstr>T_FE</vt:lpstr>
      <vt:lpstr>T_FE1</vt:lpstr>
      <vt:lpstr>T_HA.FL</vt:lpstr>
      <vt:lpstr>T_HA.MA</vt:lpstr>
      <vt:lpstr>T_HA.OT</vt:lpstr>
      <vt:lpstr>T_HA.TA</vt:lpstr>
      <vt:lpstr>T_HA.TO</vt:lpstr>
      <vt:lpstr>T_HE</vt:lpstr>
      <vt:lpstr>T_HE1</vt:lpstr>
      <vt:lpstr>T_LB</vt:lpstr>
      <vt:lpstr>T_LB1</vt:lpstr>
      <vt:lpstr>T_LL</vt:lpstr>
      <vt:lpstr>T_LL1</vt:lpstr>
      <vt:lpstr>T_TB</vt:lpstr>
      <vt:lpstr>T_TB1</vt:lpstr>
      <vt:lpstr>T_TF</vt:lpstr>
      <vt:lpstr>T_TF1</vt:lpstr>
      <vt:lpstr>T_TOT</vt:lpstr>
      <vt:lpstr>T_UA</vt:lpstr>
      <vt:lpstr>T_UA1</vt:lpstr>
      <vt:lpstr>Tarea</vt:lpstr>
      <vt:lpstr>UG</vt:lpstr>
      <vt:lpstr>URF</vt:lpstr>
      <vt:lpstr>V</vt:lpstr>
      <vt:lpstr>WH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2023-03-28T20:38:24Z</dcterms:modified>
</cp:coreProperties>
</file>